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ersonal\Async\docs\"/>
    </mc:Choice>
  </mc:AlternateContent>
  <xr:revisionPtr revIDLastSave="0" documentId="13_ncr:1_{59312D56-666A-484D-A150-6477D7CFAA2B}" xr6:coauthVersionLast="47" xr6:coauthVersionMax="47" xr10:uidLastSave="{00000000-0000-0000-0000-000000000000}"/>
  <bookViews>
    <workbookView xWindow="-108" yWindow="-108" windowWidth="23256" windowHeight="12456" xr2:uid="{8EDCB4AE-09CD-4F1D-8845-C854B8FD11ED}"/>
  </bookViews>
  <sheets>
    <sheet name="MARCO" sheetId="2" r:id="rId1"/>
    <sheet name="PEA" sheetId="4" state="hidden" r:id="rId2"/>
    <sheet name="Org. Lima - Callao y ODEIs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2" hidden="1">'Org. Lima - Callao y ODEIs'!$B$1:$N$268</definedName>
    <definedName name="AULA">#REF!</definedName>
    <definedName name="AULA1">#REF!</definedName>
    <definedName name="BD_BD_JURIS_PEA">[1]RESUMEN!$C$5:$J$271</definedName>
    <definedName name="CODIGOS">#REF!</definedName>
    <definedName name="concatenar">#REF!</definedName>
    <definedName name="DATOS">#REF!</definedName>
    <definedName name="DatosExternos_1" localSheetId="0" hidden="1">MARCO!$A$1:$L$35</definedName>
    <definedName name="datostap">#REF!</definedName>
    <definedName name="dni_ge">#REF!</definedName>
    <definedName name="dnis_general">#REF!</definedName>
    <definedName name="id_region">#REF!</definedName>
    <definedName name="idanterior">#REF!</definedName>
    <definedName name="lengua2">#REF!</definedName>
    <definedName name="lenguaa">#REF!</definedName>
    <definedName name="local">[2]!Tabla5[[nom_local]:[direccion]]</definedName>
    <definedName name="local_id">#REF!</definedName>
    <definedName name="LOCALESEIB">[3]Hoja5!$C$4:$O$57</definedName>
    <definedName name="LOCALESSSSSSSSSSSS">[2]!Tabla5[[#All],[nom_local]:[Columna1]]</definedName>
    <definedName name="LOCALSSSSS">[2]!Tabla5[[nom_local]:[Columna1]]</definedName>
    <definedName name="METATAP">#REF!</definedName>
    <definedName name="muestrainicial">#REF!</definedName>
    <definedName name="nuevaprov">#REF!</definedName>
    <definedName name="provicnailesss">#REF!</definedName>
    <definedName name="reg">[2]!Tabla6[[nom_sede_reg]:[local]]</definedName>
    <definedName name="region">[2]!Tabla6[[nom_sede_reg]:[local]]</definedName>
    <definedName name="Sede">#REF!</definedName>
    <definedName name="sede_reg">#REF!</definedName>
    <definedName name="SEDES2023">#REF!</definedName>
    <definedName name="tab_aplicadores_piloto">'[4]cant Aplicadores PILOTO'!$A$1:$I$187</definedName>
    <definedName name="TABLA_2_EMILY">[5]!Tabla210[[numero_doc]:[ORDEN DE MERITO]]</definedName>
    <definedName name="TABLA_EMILY">#REF!</definedName>
    <definedName name="tabla_general">#REF!</definedName>
    <definedName name="TABLA_GENERAL_5">#REF!</definedName>
    <definedName name="tabla_ger">'[5]LOCAL ID 3 Y 4'!$G$2:$M$147</definedName>
    <definedName name="Tabla_local">#REF!</definedName>
    <definedName name="TABLA_MARCO_SANTIAGO">[5]!Tabla210[[numero_doc]:[ORDEN DE MERITO]]</definedName>
    <definedName name="tabla_marco_santiago_3">[5]!Tabla210[[numero_doc]:[SEDE JURISDICCIONAL]]</definedName>
    <definedName name="Tabla_Sede">#REF!</definedName>
    <definedName name="Tabla_sede_1">#REF!</definedName>
    <definedName name="Tabla_sede_reg">#REF!</definedName>
    <definedName name="tablitaaa">#REF!</definedName>
    <definedName name="tablota">#REF!</definedName>
    <definedName name="tablotaaa">#REF!</definedName>
    <definedName name="TB_CANTIDAD">#REF!</definedName>
    <definedName name="TB_CPSPASAS">'[6]CP+SPA+SAS'!$F$3:$I$40</definedName>
    <definedName name="tb_id_local">#REF!</definedName>
    <definedName name="TB_SEDE_REGIONAL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K2" i="4" s="1"/>
  <c r="J3" i="4"/>
  <c r="K3" i="4" s="1"/>
  <c r="J4" i="4"/>
  <c r="K4" i="4" s="1"/>
  <c r="L4" i="4" s="1"/>
  <c r="M4" i="4" s="1"/>
  <c r="J5" i="4"/>
  <c r="K5" i="4" s="1"/>
  <c r="L5" i="4" s="1"/>
  <c r="J6" i="4"/>
  <c r="K6" i="4" s="1"/>
  <c r="L6" i="4" s="1"/>
  <c r="J7" i="4"/>
  <c r="K7" i="4" s="1"/>
  <c r="L7" i="4" s="1"/>
  <c r="M7" i="4" s="1"/>
  <c r="J8" i="4"/>
  <c r="K8" i="4" s="1"/>
  <c r="L8" i="4" s="1"/>
  <c r="J9" i="4"/>
  <c r="K9" i="4" s="1"/>
  <c r="L9" i="4" s="1"/>
  <c r="J10" i="4"/>
  <c r="K10" i="4" s="1"/>
  <c r="L10" i="4" s="1"/>
  <c r="J11" i="4"/>
  <c r="K11" i="4" s="1"/>
  <c r="J12" i="4"/>
  <c r="K12" i="4" s="1"/>
  <c r="J13" i="4"/>
  <c r="K13" i="4" s="1"/>
  <c r="J14" i="4"/>
  <c r="K14" i="4" s="1"/>
  <c r="L14" i="4" s="1"/>
  <c r="J15" i="4"/>
  <c r="K15" i="4" s="1"/>
  <c r="L15" i="4" s="1"/>
  <c r="J16" i="4"/>
  <c r="K16" i="4" s="1"/>
  <c r="J17" i="4"/>
  <c r="K17" i="4" s="1"/>
  <c r="L17" i="4" s="1"/>
  <c r="J18" i="4"/>
  <c r="K18" i="4" s="1"/>
  <c r="J19" i="4"/>
  <c r="K19" i="4" s="1"/>
  <c r="J20" i="4"/>
  <c r="K20" i="4" s="1"/>
  <c r="L20" i="4" s="1"/>
  <c r="M20" i="4" s="1"/>
  <c r="J21" i="4"/>
  <c r="K21" i="4" s="1"/>
  <c r="J22" i="4"/>
  <c r="K22" i="4" s="1"/>
  <c r="J23" i="4"/>
  <c r="K23" i="4" s="1"/>
  <c r="L23" i="4" s="1"/>
  <c r="J24" i="4"/>
  <c r="K24" i="4" s="1"/>
  <c r="L24" i="4" s="1"/>
  <c r="M24" i="4" s="1"/>
  <c r="J25" i="4"/>
  <c r="K25" i="4" s="1"/>
  <c r="L25" i="4" s="1"/>
  <c r="J26" i="4"/>
  <c r="K26" i="4" s="1"/>
  <c r="L26" i="4" s="1"/>
  <c r="J27" i="4"/>
  <c r="K27" i="4" s="1"/>
  <c r="L27" i="4" s="1"/>
  <c r="M27" i="4" s="1"/>
  <c r="J28" i="4"/>
  <c r="K28" i="4" s="1"/>
  <c r="L28" i="4" s="1"/>
  <c r="J29" i="4"/>
  <c r="K29" i="4" s="1"/>
  <c r="L29" i="4" s="1"/>
  <c r="J30" i="4"/>
  <c r="K30" i="4" s="1"/>
  <c r="L30" i="4" s="1"/>
  <c r="J31" i="4"/>
  <c r="K31" i="4" s="1"/>
  <c r="L31" i="4" s="1"/>
  <c r="J32" i="4"/>
  <c r="K32" i="4" s="1"/>
  <c r="L32" i="4" s="1"/>
  <c r="J33" i="4"/>
  <c r="K33" i="4" s="1"/>
  <c r="L33" i="4" s="1"/>
  <c r="J34" i="4"/>
  <c r="K34" i="4" s="1"/>
  <c r="L34" i="4" s="1"/>
  <c r="J35" i="4"/>
  <c r="K35" i="4" s="1"/>
  <c r="J36" i="4"/>
  <c r="K36" i="4" s="1"/>
  <c r="J37" i="4"/>
  <c r="K37" i="4" s="1"/>
  <c r="L37" i="4" s="1"/>
  <c r="J38" i="4"/>
  <c r="K38" i="4" s="1"/>
  <c r="L38" i="4" s="1"/>
  <c r="J39" i="4"/>
  <c r="K39" i="4" s="1"/>
  <c r="J40" i="4"/>
  <c r="K40" i="4" s="1"/>
  <c r="J41" i="4"/>
  <c r="K41" i="4" s="1"/>
  <c r="J42" i="4"/>
  <c r="K42" i="4" s="1"/>
  <c r="L42" i="4" s="1"/>
  <c r="J43" i="4"/>
  <c r="K43" i="4" s="1"/>
  <c r="J44" i="4"/>
  <c r="K44" i="4" s="1"/>
  <c r="L44" i="4" s="1"/>
  <c r="M44" i="4" s="1"/>
  <c r="J45" i="4"/>
  <c r="K45" i="4" s="1"/>
  <c r="J46" i="4"/>
  <c r="K46" i="4" s="1"/>
  <c r="J47" i="4"/>
  <c r="K47" i="4" s="1"/>
  <c r="L47" i="4" s="1"/>
  <c r="M47" i="4" s="1"/>
  <c r="J48" i="4"/>
  <c r="K48" i="4" s="1"/>
  <c r="J49" i="4"/>
  <c r="K49" i="4" s="1"/>
  <c r="J50" i="4"/>
  <c r="K50" i="4" s="1"/>
  <c r="J51" i="4"/>
  <c r="K51" i="4" s="1"/>
  <c r="J52" i="4"/>
  <c r="K52" i="4" s="1"/>
  <c r="L52" i="4" s="1"/>
  <c r="J53" i="4"/>
  <c r="K53" i="4" s="1"/>
  <c r="L53" i="4" s="1"/>
  <c r="J54" i="4"/>
  <c r="K54" i="4" s="1"/>
  <c r="L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L60" i="4" s="1"/>
  <c r="M60" i="4" s="1"/>
  <c r="J61" i="4"/>
  <c r="K61" i="4" s="1"/>
  <c r="J62" i="4"/>
  <c r="K62" i="4" s="1"/>
  <c r="L62" i="4" s="1"/>
  <c r="J63" i="4"/>
  <c r="K63" i="4" s="1"/>
  <c r="L63" i="4" s="1"/>
  <c r="J64" i="4"/>
  <c r="K64" i="4" s="1"/>
  <c r="L64" i="4" s="1"/>
  <c r="M64" i="4" s="1"/>
  <c r="J65" i="4"/>
  <c r="K65" i="4" s="1"/>
  <c r="L65" i="4" s="1"/>
  <c r="J66" i="4"/>
  <c r="K66" i="4" s="1"/>
  <c r="L66" i="4" s="1"/>
  <c r="J67" i="4"/>
  <c r="K67" i="4" s="1"/>
  <c r="L67" i="4" s="1"/>
  <c r="M67" i="4" s="1"/>
  <c r="J68" i="4"/>
  <c r="K68" i="4" s="1"/>
  <c r="L68" i="4" s="1"/>
  <c r="J69" i="4"/>
  <c r="K69" i="4" s="1"/>
  <c r="L69" i="4" s="1"/>
  <c r="J70" i="4"/>
  <c r="K70" i="4" s="1"/>
  <c r="J71" i="4"/>
  <c r="K71" i="4" s="1"/>
  <c r="L71" i="4" s="1"/>
  <c r="J72" i="4"/>
  <c r="K72" i="4" s="1"/>
  <c r="L72" i="4" s="1"/>
  <c r="J73" i="4"/>
  <c r="K73" i="4" s="1"/>
  <c r="L73" i="4" s="1"/>
  <c r="J74" i="4"/>
  <c r="K74" i="4" s="1"/>
  <c r="L74" i="4" s="1"/>
  <c r="J75" i="4"/>
  <c r="K75" i="4" s="1"/>
  <c r="L75" i="4" s="1"/>
  <c r="J76" i="4"/>
  <c r="K76" i="4" s="1"/>
  <c r="L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L84" i="4" s="1"/>
  <c r="M84" i="4" s="1"/>
  <c r="J85" i="4"/>
  <c r="K85" i="4" s="1"/>
  <c r="L85" i="4" s="1"/>
  <c r="J86" i="4"/>
  <c r="K86" i="4" s="1"/>
  <c r="L86" i="4" s="1"/>
  <c r="J87" i="4"/>
  <c r="K87" i="4" s="1"/>
  <c r="L87" i="4" s="1"/>
  <c r="M87" i="4" s="1"/>
  <c r="J88" i="4"/>
  <c r="K88" i="4" s="1"/>
  <c r="L88" i="4" s="1"/>
  <c r="J89" i="4"/>
  <c r="K89" i="4" s="1"/>
  <c r="L89" i="4" s="1"/>
  <c r="J90" i="4"/>
  <c r="K90" i="4" s="1"/>
  <c r="J91" i="4"/>
  <c r="K91" i="4" s="1"/>
  <c r="J92" i="4"/>
  <c r="K92" i="4" s="1"/>
  <c r="J93" i="4"/>
  <c r="K93" i="4" s="1"/>
  <c r="J94" i="4"/>
  <c r="K94" i="4" s="1"/>
  <c r="L94" i="4" s="1"/>
  <c r="J95" i="4"/>
  <c r="K95" i="4" s="1"/>
  <c r="L95" i="4" s="1"/>
  <c r="J96" i="4"/>
  <c r="K96" i="4" s="1"/>
  <c r="L96" i="4" s="1"/>
  <c r="J97" i="4"/>
  <c r="K97" i="4" s="1"/>
  <c r="J98" i="4"/>
  <c r="K98" i="4" s="1"/>
  <c r="J99" i="4"/>
  <c r="K99" i="4" s="1"/>
  <c r="J100" i="4"/>
  <c r="K100" i="4" s="1"/>
  <c r="L100" i="4" s="1"/>
  <c r="M100" i="4" s="1"/>
  <c r="J101" i="4"/>
  <c r="K101" i="4" s="1"/>
  <c r="J102" i="4"/>
  <c r="K102" i="4" s="1"/>
  <c r="L102" i="4" s="1"/>
  <c r="J103" i="4"/>
  <c r="K103" i="4" s="1"/>
  <c r="L103" i="4" s="1"/>
  <c r="J104" i="4"/>
  <c r="K104" i="4" s="1"/>
  <c r="L104" i="4" s="1"/>
  <c r="M104" i="4" s="1"/>
  <c r="J105" i="4"/>
  <c r="K105" i="4" s="1"/>
  <c r="J106" i="4"/>
  <c r="K106" i="4" s="1"/>
  <c r="L106" i="4" s="1"/>
  <c r="J107" i="4"/>
  <c r="K107" i="4" s="1"/>
  <c r="L107" i="4" s="1"/>
  <c r="M107" i="4" s="1"/>
  <c r="J108" i="4"/>
  <c r="K108" i="4" s="1"/>
  <c r="L108" i="4" s="1"/>
  <c r="J109" i="4"/>
  <c r="K109" i="4" s="1"/>
  <c r="L109" i="4" s="1"/>
  <c r="J110" i="4"/>
  <c r="K110" i="4" s="1"/>
  <c r="L110" i="4" s="1"/>
  <c r="J111" i="4"/>
  <c r="K111" i="4" s="1"/>
  <c r="L111" i="4" s="1"/>
  <c r="J112" i="4"/>
  <c r="K112" i="4" s="1"/>
  <c r="L112" i="4" s="1"/>
  <c r="J113" i="4"/>
  <c r="K113" i="4" s="1"/>
  <c r="L113" i="4" s="1"/>
  <c r="J114" i="4"/>
  <c r="K114" i="4" s="1"/>
  <c r="L114" i="4" s="1"/>
  <c r="J115" i="4"/>
  <c r="K115" i="4" s="1"/>
  <c r="L115" i="4" s="1"/>
  <c r="J116" i="4"/>
  <c r="K116" i="4" s="1"/>
  <c r="L116" i="4" s="1"/>
  <c r="J117" i="4"/>
  <c r="K117" i="4" s="1"/>
  <c r="L117" i="4" s="1"/>
  <c r="J118" i="4"/>
  <c r="K118" i="4" s="1"/>
  <c r="J119" i="4"/>
  <c r="K119" i="4" s="1"/>
  <c r="J120" i="4"/>
  <c r="K120" i="4" s="1"/>
  <c r="L120" i="4" s="1"/>
  <c r="J121" i="4"/>
  <c r="K121" i="4" s="1"/>
  <c r="J122" i="4"/>
  <c r="K122" i="4" s="1"/>
  <c r="J123" i="4"/>
  <c r="K123" i="4" s="1"/>
  <c r="J124" i="4"/>
  <c r="K124" i="4" s="1"/>
  <c r="L124" i="4" s="1"/>
  <c r="M124" i="4" s="1"/>
  <c r="J125" i="4"/>
  <c r="K125" i="4" s="1"/>
  <c r="J126" i="4"/>
  <c r="K126" i="4" s="1"/>
  <c r="J127" i="4"/>
  <c r="K127" i="4" s="1"/>
  <c r="L127" i="4" s="1"/>
  <c r="M127" i="4" s="1"/>
  <c r="J128" i="4"/>
  <c r="K128" i="4" s="1"/>
  <c r="J129" i="4"/>
  <c r="K129" i="4" s="1"/>
  <c r="J130" i="4"/>
  <c r="K130" i="4" s="1"/>
  <c r="L130" i="4" s="1"/>
  <c r="J131" i="4"/>
  <c r="K131" i="4" s="1"/>
  <c r="J132" i="4"/>
  <c r="K132" i="4" s="1"/>
  <c r="L132" i="4" s="1"/>
  <c r="J133" i="4"/>
  <c r="K133" i="4" s="1"/>
  <c r="L133" i="4" s="1"/>
  <c r="J134" i="4"/>
  <c r="K134" i="4" s="1"/>
  <c r="L134" i="4" s="1"/>
  <c r="J135" i="4"/>
  <c r="K135" i="4" s="1"/>
  <c r="L135" i="4" s="1"/>
  <c r="J136" i="4"/>
  <c r="K136" i="4" s="1"/>
  <c r="L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L142" i="4" s="1"/>
  <c r="J143" i="4"/>
  <c r="K143" i="4" s="1"/>
  <c r="L143" i="4" s="1"/>
  <c r="J144" i="4"/>
  <c r="K144" i="4" s="1"/>
  <c r="L144" i="4" s="1"/>
  <c r="M144" i="4" s="1"/>
  <c r="J145" i="4"/>
  <c r="K145" i="4" s="1"/>
  <c r="J146" i="4"/>
  <c r="K146" i="4" s="1"/>
  <c r="J147" i="4"/>
  <c r="K147" i="4" s="1"/>
  <c r="L147" i="4" s="1"/>
  <c r="M147" i="4" s="1"/>
  <c r="J148" i="4"/>
  <c r="K148" i="4" s="1"/>
  <c r="L148" i="4" s="1"/>
  <c r="J149" i="4"/>
  <c r="K149" i="4" s="1"/>
  <c r="L149" i="4" s="1"/>
  <c r="J150" i="4"/>
  <c r="K150" i="4" s="1"/>
  <c r="J151" i="4"/>
  <c r="K151" i="4" s="1"/>
  <c r="L151" i="4" s="1"/>
  <c r="J152" i="4"/>
  <c r="K152" i="4" s="1"/>
  <c r="L152" i="4" s="1"/>
  <c r="J153" i="4"/>
  <c r="K153" i="4" s="1"/>
  <c r="J154" i="4"/>
  <c r="K154" i="4" s="1"/>
  <c r="L154" i="4" s="1"/>
  <c r="J155" i="4"/>
  <c r="K155" i="4" s="1"/>
  <c r="L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L164" i="4" s="1"/>
  <c r="M164" i="4" s="1"/>
  <c r="J165" i="4"/>
  <c r="K165" i="4" s="1"/>
  <c r="L165" i="4" s="1"/>
  <c r="J166" i="4"/>
  <c r="K166" i="4" s="1"/>
  <c r="L166" i="4" s="1"/>
  <c r="J167" i="4"/>
  <c r="K167" i="4" s="1"/>
  <c r="L167" i="4" s="1"/>
  <c r="M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L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L183" i="4" s="1"/>
  <c r="J184" i="4"/>
  <c r="K184" i="4" s="1"/>
  <c r="L184" i="4" s="1"/>
  <c r="M184" i="4" s="1"/>
  <c r="J185" i="4"/>
  <c r="K185" i="4" s="1"/>
  <c r="J186" i="4"/>
  <c r="K186" i="4" s="1"/>
  <c r="L186" i="4" s="1"/>
  <c r="J187" i="4"/>
  <c r="K187" i="4" s="1"/>
  <c r="L187" i="4" s="1"/>
  <c r="M187" i="4" s="1"/>
  <c r="J188" i="4"/>
  <c r="K188" i="4" s="1"/>
  <c r="L188" i="4" s="1"/>
  <c r="J189" i="4"/>
  <c r="K189" i="4" s="1"/>
  <c r="L189" i="4" s="1"/>
  <c r="J190" i="4"/>
  <c r="K190" i="4" s="1"/>
  <c r="L190" i="4" s="1"/>
  <c r="J191" i="4"/>
  <c r="K191" i="4" s="1"/>
  <c r="J192" i="4"/>
  <c r="K192" i="4" s="1"/>
  <c r="J193" i="4"/>
  <c r="K193" i="4" s="1"/>
  <c r="J194" i="4"/>
  <c r="K194" i="4" s="1"/>
  <c r="L194" i="4" s="1"/>
  <c r="J195" i="4"/>
  <c r="K195" i="4" s="1"/>
  <c r="L195" i="4" s="1"/>
  <c r="J196" i="4"/>
  <c r="K196" i="4" s="1"/>
  <c r="L196" i="4" s="1"/>
  <c r="J197" i="4"/>
  <c r="K197" i="4" s="1"/>
  <c r="J198" i="4"/>
  <c r="K198" i="4" s="1"/>
  <c r="J199" i="4"/>
  <c r="K199" i="4" s="1"/>
  <c r="J200" i="4"/>
  <c r="K200" i="4" s="1"/>
  <c r="L200" i="4" s="1"/>
  <c r="J201" i="4"/>
  <c r="K201" i="4" s="1"/>
  <c r="J202" i="4"/>
  <c r="K202" i="4" s="1"/>
  <c r="J203" i="4"/>
  <c r="K203" i="4" s="1"/>
  <c r="J204" i="4"/>
  <c r="K204" i="4" s="1"/>
  <c r="L204" i="4" s="1"/>
  <c r="M204" i="4" s="1"/>
  <c r="J205" i="4"/>
  <c r="K205" i="4" s="1"/>
  <c r="J206" i="4"/>
  <c r="K206" i="4" s="1"/>
  <c r="J207" i="4"/>
  <c r="K207" i="4" s="1"/>
  <c r="L207" i="4" s="1"/>
  <c r="M207" i="4" s="1"/>
  <c r="J208" i="4"/>
  <c r="K208" i="4" s="1"/>
  <c r="J209" i="4"/>
  <c r="K209" i="4" s="1"/>
  <c r="J210" i="4"/>
  <c r="K210" i="4" s="1"/>
  <c r="L210" i="4" s="1"/>
  <c r="J211" i="4"/>
  <c r="K211" i="4" s="1"/>
  <c r="J212" i="4"/>
  <c r="K212" i="4" s="1"/>
  <c r="L212" i="4" s="1"/>
  <c r="J213" i="4"/>
  <c r="K213" i="4" s="1"/>
  <c r="L213" i="4" s="1"/>
  <c r="J214" i="4"/>
  <c r="K214" i="4" s="1"/>
  <c r="L214" i="4" s="1"/>
  <c r="J215" i="4"/>
  <c r="K215" i="4" s="1"/>
  <c r="L215" i="4" s="1"/>
  <c r="J216" i="4"/>
  <c r="K216" i="4" s="1"/>
  <c r="J217" i="4"/>
  <c r="K217" i="4" s="1"/>
  <c r="J218" i="4"/>
  <c r="K218" i="4" s="1"/>
  <c r="J219" i="4"/>
  <c r="K219" i="4" s="1"/>
  <c r="J220" i="4"/>
  <c r="K220" i="4" s="1"/>
  <c r="L220" i="4" s="1"/>
  <c r="M220" i="4" s="1"/>
  <c r="J221" i="4"/>
  <c r="K221" i="4" s="1"/>
  <c r="J222" i="4"/>
  <c r="K222" i="4" s="1"/>
  <c r="J223" i="4"/>
  <c r="K223" i="4" s="1"/>
  <c r="J224" i="4"/>
  <c r="K224" i="4" s="1"/>
  <c r="L224" i="4" s="1"/>
  <c r="M224" i="4" s="1"/>
  <c r="J225" i="4"/>
  <c r="K225" i="4" s="1"/>
  <c r="J226" i="4"/>
  <c r="K226" i="4" s="1"/>
  <c r="J227" i="4"/>
  <c r="K227" i="4" s="1"/>
  <c r="L227" i="4" s="1"/>
  <c r="M227" i="4" s="1"/>
  <c r="J228" i="4"/>
  <c r="K228" i="4" s="1"/>
  <c r="L228" i="4" s="1"/>
  <c r="J229" i="4"/>
  <c r="K229" i="4" s="1"/>
  <c r="L229" i="4" s="1"/>
  <c r="J230" i="4"/>
  <c r="K230" i="4" s="1"/>
  <c r="J231" i="4"/>
  <c r="K231" i="4" s="1"/>
  <c r="L231" i="4" s="1"/>
  <c r="J232" i="4"/>
  <c r="K232" i="4" s="1"/>
  <c r="L232" i="4" s="1"/>
  <c r="J233" i="4"/>
  <c r="K233" i="4" s="1"/>
  <c r="L233" i="4" s="1"/>
  <c r="J234" i="4"/>
  <c r="K234" i="4" s="1"/>
  <c r="L234" i="4" s="1"/>
  <c r="J235" i="4"/>
  <c r="K235" i="4" s="1"/>
  <c r="J236" i="4"/>
  <c r="K236" i="4" s="1"/>
  <c r="J237" i="4"/>
  <c r="K237" i="4" s="1"/>
  <c r="J238" i="4"/>
  <c r="K238" i="4" s="1"/>
  <c r="L238" i="4" s="1"/>
  <c r="J239" i="4"/>
  <c r="K239" i="4" s="1"/>
  <c r="J240" i="4"/>
  <c r="K240" i="4" s="1"/>
  <c r="J241" i="4"/>
  <c r="K241" i="4" s="1"/>
  <c r="J242" i="4"/>
  <c r="K242" i="4" s="1"/>
  <c r="L242" i="4" s="1"/>
  <c r="J243" i="4"/>
  <c r="K243" i="4" s="1"/>
  <c r="J244" i="4"/>
  <c r="K244" i="4" s="1"/>
  <c r="L244" i="4" s="1"/>
  <c r="M244" i="4" s="1"/>
  <c r="J245" i="4"/>
  <c r="K245" i="4" s="1"/>
  <c r="J246" i="4"/>
  <c r="K246" i="4" s="1"/>
  <c r="J247" i="4"/>
  <c r="K247" i="4" s="1"/>
  <c r="L247" i="4" s="1"/>
  <c r="M247" i="4" s="1"/>
  <c r="J248" i="4"/>
  <c r="K248" i="4" s="1"/>
  <c r="J249" i="4"/>
  <c r="K249" i="4" s="1"/>
  <c r="J250" i="4"/>
  <c r="K250" i="4" s="1"/>
  <c r="J251" i="4"/>
  <c r="K251" i="4" s="1"/>
  <c r="J252" i="4"/>
  <c r="K252" i="4" s="1"/>
  <c r="J253" i="4"/>
  <c r="K253" i="4" s="1"/>
  <c r="J254" i="4"/>
  <c r="K254" i="4" s="1"/>
  <c r="L254" i="4" s="1"/>
  <c r="J255" i="4"/>
  <c r="K255" i="4" s="1"/>
  <c r="L255" i="4" s="1"/>
  <c r="J256" i="4"/>
  <c r="K256" i="4" s="1"/>
  <c r="J257" i="4"/>
  <c r="K257" i="4" s="1"/>
  <c r="L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L263" i="4" s="1"/>
  <c r="J264" i="4"/>
  <c r="K264" i="4" s="1"/>
  <c r="L264" i="4" s="1"/>
  <c r="M264" i="4" s="1"/>
  <c r="J265" i="4"/>
  <c r="K265" i="4" s="1"/>
  <c r="J266" i="4"/>
  <c r="K266" i="4" s="1"/>
  <c r="L266" i="4" s="1"/>
  <c r="J267" i="4"/>
  <c r="K267" i="4" s="1"/>
  <c r="L267" i="4" s="1"/>
  <c r="M267" i="4" s="1"/>
  <c r="J268" i="4"/>
  <c r="K268" i="4" s="1"/>
  <c r="M230" i="4" l="1"/>
  <c r="M243" i="4"/>
  <c r="M163" i="4"/>
  <c r="M131" i="4"/>
  <c r="M83" i="4"/>
  <c r="M51" i="4"/>
  <c r="M3" i="4"/>
  <c r="K269" i="4"/>
  <c r="L243" i="4"/>
  <c r="M66" i="4"/>
  <c r="M209" i="4"/>
  <c r="M129" i="4"/>
  <c r="M113" i="4"/>
  <c r="M65" i="4"/>
  <c r="M49" i="4"/>
  <c r="M33" i="4"/>
  <c r="L265" i="4"/>
  <c r="M265" i="4" s="1"/>
  <c r="L211" i="4"/>
  <c r="M211" i="4" s="1"/>
  <c r="L140" i="4"/>
  <c r="M140" i="4" s="1"/>
  <c r="M162" i="4"/>
  <c r="M112" i="4"/>
  <c r="M32" i="4"/>
  <c r="L240" i="4"/>
  <c r="M240" i="4" s="1"/>
  <c r="M185" i="4"/>
  <c r="M166" i="4"/>
  <c r="M242" i="4"/>
  <c r="M146" i="4"/>
  <c r="M223" i="4"/>
  <c r="M191" i="4"/>
  <c r="M143" i="4"/>
  <c r="M111" i="4"/>
  <c r="M63" i="4"/>
  <c r="M31" i="4"/>
  <c r="L209" i="4"/>
  <c r="L163" i="4"/>
  <c r="M262" i="4"/>
  <c r="M222" i="4"/>
  <c r="M206" i="4"/>
  <c r="M190" i="4"/>
  <c r="M142" i="4"/>
  <c r="M110" i="4"/>
  <c r="M62" i="4"/>
  <c r="M46" i="4"/>
  <c r="M30" i="4"/>
  <c r="L262" i="4"/>
  <c r="L208" i="4"/>
  <c r="M208" i="4" s="1"/>
  <c r="L185" i="4"/>
  <c r="L162" i="4"/>
  <c r="L131" i="4"/>
  <c r="M210" i="4"/>
  <c r="M253" i="4"/>
  <c r="M205" i="4"/>
  <c r="M189" i="4"/>
  <c r="M109" i="4"/>
  <c r="M93" i="4"/>
  <c r="M45" i="4"/>
  <c r="M29" i="4"/>
  <c r="L260" i="4"/>
  <c r="M260" i="4" s="1"/>
  <c r="L153" i="4"/>
  <c r="M153" i="4" s="1"/>
  <c r="L83" i="4"/>
  <c r="M182" i="4"/>
  <c r="M130" i="4"/>
  <c r="M268" i="4"/>
  <c r="M188" i="4"/>
  <c r="M108" i="4"/>
  <c r="M92" i="4"/>
  <c r="M28" i="4"/>
  <c r="M12" i="4"/>
  <c r="L253" i="4"/>
  <c r="L230" i="4"/>
  <c r="L206" i="4"/>
  <c r="L129" i="4"/>
  <c r="L82" i="4"/>
  <c r="M82" i="4" s="1"/>
  <c r="L51" i="4"/>
  <c r="L3" i="4"/>
  <c r="M105" i="4"/>
  <c r="M251" i="4"/>
  <c r="M171" i="4"/>
  <c r="M123" i="4"/>
  <c r="M91" i="4"/>
  <c r="M43" i="4"/>
  <c r="M11" i="4"/>
  <c r="L252" i="4"/>
  <c r="M252" i="4" s="1"/>
  <c r="L205" i="4"/>
  <c r="L182" i="4"/>
  <c r="L128" i="4"/>
  <c r="M128" i="4" s="1"/>
  <c r="L105" i="4"/>
  <c r="L80" i="4"/>
  <c r="M80" i="4" s="1"/>
  <c r="L50" i="4"/>
  <c r="M50" i="4" s="1"/>
  <c r="L2" i="4"/>
  <c r="M249" i="4"/>
  <c r="M246" i="4"/>
  <c r="M266" i="4"/>
  <c r="M250" i="4"/>
  <c r="M186" i="4"/>
  <c r="M170" i="4"/>
  <c r="M122" i="4"/>
  <c r="M106" i="4"/>
  <c r="M42" i="4"/>
  <c r="M26" i="4"/>
  <c r="M10" i="4"/>
  <c r="L251" i="4"/>
  <c r="L180" i="4"/>
  <c r="M180" i="4" s="1"/>
  <c r="L150" i="4"/>
  <c r="M150" i="4" s="1"/>
  <c r="L49" i="4"/>
  <c r="M9" i="4"/>
  <c r="L250" i="4"/>
  <c r="L203" i="4"/>
  <c r="M203" i="4" s="1"/>
  <c r="L173" i="4"/>
  <c r="M173" i="4" s="1"/>
  <c r="L126" i="4"/>
  <c r="M126" i="4" s="1"/>
  <c r="L48" i="4"/>
  <c r="M48" i="4" s="1"/>
  <c r="M233" i="4"/>
  <c r="M73" i="4"/>
  <c r="M25" i="4"/>
  <c r="M232" i="4"/>
  <c r="M152" i="4"/>
  <c r="M88" i="4"/>
  <c r="M72" i="4"/>
  <c r="M8" i="4"/>
  <c r="L249" i="4"/>
  <c r="L226" i="4"/>
  <c r="M226" i="4" s="1"/>
  <c r="L202" i="4"/>
  <c r="M202" i="4" s="1"/>
  <c r="L172" i="4"/>
  <c r="M172" i="4" s="1"/>
  <c r="L125" i="4"/>
  <c r="M125" i="4" s="1"/>
  <c r="M200" i="4"/>
  <c r="M89" i="4"/>
  <c r="M263" i="4"/>
  <c r="M231" i="4"/>
  <c r="M183" i="4"/>
  <c r="M151" i="4"/>
  <c r="M103" i="4"/>
  <c r="M71" i="4"/>
  <c r="M23" i="4"/>
  <c r="L248" i="4"/>
  <c r="M248" i="4" s="1"/>
  <c r="L225" i="4"/>
  <c r="M225" i="4" s="1"/>
  <c r="L171" i="4"/>
  <c r="L93" i="4"/>
  <c r="L70" i="4"/>
  <c r="M70" i="4" s="1"/>
  <c r="L46" i="4"/>
  <c r="L22" i="4"/>
  <c r="M22" i="4" s="1"/>
  <c r="M86" i="4"/>
  <c r="M6" i="4"/>
  <c r="L193" i="4"/>
  <c r="M193" i="4" s="1"/>
  <c r="L170" i="4"/>
  <c r="L146" i="4"/>
  <c r="L123" i="4"/>
  <c r="L92" i="4"/>
  <c r="L45" i="4"/>
  <c r="L13" i="4"/>
  <c r="M13" i="4" s="1"/>
  <c r="M245" i="4"/>
  <c r="M229" i="4"/>
  <c r="M213" i="4"/>
  <c r="M165" i="4"/>
  <c r="M149" i="4"/>
  <c r="M133" i="4"/>
  <c r="M85" i="4"/>
  <c r="M69" i="4"/>
  <c r="M53" i="4"/>
  <c r="M5" i="4"/>
  <c r="L246" i="4"/>
  <c r="L223" i="4"/>
  <c r="L192" i="4"/>
  <c r="M192" i="4" s="1"/>
  <c r="L169" i="4"/>
  <c r="M169" i="4" s="1"/>
  <c r="L145" i="4"/>
  <c r="M145" i="4" s="1"/>
  <c r="L122" i="4"/>
  <c r="L91" i="4"/>
  <c r="L12" i="4"/>
  <c r="M120" i="4"/>
  <c r="M102" i="4"/>
  <c r="M228" i="4"/>
  <c r="M212" i="4"/>
  <c r="M148" i="4"/>
  <c r="M132" i="4"/>
  <c r="M68" i="4"/>
  <c r="M52" i="4"/>
  <c r="L268" i="4"/>
  <c r="L245" i="4"/>
  <c r="L222" i="4"/>
  <c r="L191" i="4"/>
  <c r="L168" i="4"/>
  <c r="M168" i="4" s="1"/>
  <c r="L90" i="4"/>
  <c r="M90" i="4" s="1"/>
  <c r="L43" i="4"/>
  <c r="L11" i="4"/>
  <c r="L178" i="4"/>
  <c r="M178" i="4" s="1"/>
  <c r="L138" i="4"/>
  <c r="M138" i="4" s="1"/>
  <c r="L118" i="4"/>
  <c r="M118" i="4" s="1"/>
  <c r="L78" i="4"/>
  <c r="M78" i="4"/>
  <c r="M58" i="4"/>
  <c r="L58" i="4"/>
  <c r="L18" i="4"/>
  <c r="M18" i="4" s="1"/>
  <c r="M241" i="4"/>
  <c r="L41" i="4"/>
  <c r="M41" i="4" s="1"/>
  <c r="L219" i="4"/>
  <c r="M219" i="4"/>
  <c r="M39" i="4"/>
  <c r="L39" i="4"/>
  <c r="L218" i="4"/>
  <c r="M218" i="4" s="1"/>
  <c r="L158" i="4"/>
  <c r="M158" i="4" s="1"/>
  <c r="L98" i="4"/>
  <c r="M98" i="4"/>
  <c r="L237" i="4"/>
  <c r="M237" i="4"/>
  <c r="L217" i="4"/>
  <c r="M217" i="4" s="1"/>
  <c r="L197" i="4"/>
  <c r="M197" i="4" s="1"/>
  <c r="L177" i="4"/>
  <c r="M177" i="4"/>
  <c r="L157" i="4"/>
  <c r="M157" i="4" s="1"/>
  <c r="L137" i="4"/>
  <c r="M137" i="4" s="1"/>
  <c r="L97" i="4"/>
  <c r="M97" i="4" s="1"/>
  <c r="L77" i="4"/>
  <c r="M77" i="4" s="1"/>
  <c r="L57" i="4"/>
  <c r="M57" i="4"/>
  <c r="L99" i="4"/>
  <c r="M99" i="4" s="1"/>
  <c r="L56" i="4"/>
  <c r="M56" i="4"/>
  <c r="L159" i="4"/>
  <c r="M159" i="4"/>
  <c r="L160" i="4"/>
  <c r="M160" i="4" s="1"/>
  <c r="M221" i="4"/>
  <c r="M139" i="4"/>
  <c r="L79" i="4"/>
  <c r="M79" i="4" s="1"/>
  <c r="L19" i="4"/>
  <c r="M19" i="4" s="1"/>
  <c r="L236" i="4"/>
  <c r="M236" i="4"/>
  <c r="L176" i="4"/>
  <c r="M176" i="4" s="1"/>
  <c r="L175" i="4"/>
  <c r="M175" i="4" s="1"/>
  <c r="L40" i="4"/>
  <c r="M40" i="4" s="1"/>
  <c r="L119" i="4"/>
  <c r="M119" i="4" s="1"/>
  <c r="L59" i="4"/>
  <c r="M59" i="4"/>
  <c r="L55" i="4"/>
  <c r="M55" i="4"/>
  <c r="M238" i="4"/>
  <c r="M38" i="4"/>
  <c r="M196" i="4"/>
  <c r="M136" i="4"/>
  <c r="M215" i="4"/>
  <c r="M155" i="4"/>
  <c r="M214" i="4"/>
  <c r="M154" i="4"/>
  <c r="M54" i="4"/>
  <c r="L261" i="4"/>
  <c r="M261" i="4" s="1"/>
  <c r="L241" i="4"/>
  <c r="L221" i="4"/>
  <c r="L201" i="4"/>
  <c r="M201" i="4" s="1"/>
  <c r="L181" i="4"/>
  <c r="M181" i="4" s="1"/>
  <c r="L161" i="4"/>
  <c r="M161" i="4" s="1"/>
  <c r="L141" i="4"/>
  <c r="M141" i="4" s="1"/>
  <c r="L121" i="4"/>
  <c r="M121" i="4" s="1"/>
  <c r="L101" i="4"/>
  <c r="M101" i="4" s="1"/>
  <c r="L81" i="4"/>
  <c r="M81" i="4" s="1"/>
  <c r="L61" i="4"/>
  <c r="M61" i="4" s="1"/>
  <c r="L21" i="4"/>
  <c r="M21" i="4" s="1"/>
  <c r="M76" i="4"/>
  <c r="M115" i="4"/>
  <c r="M94" i="4"/>
  <c r="L259" i="4"/>
  <c r="M259" i="4" s="1"/>
  <c r="L239" i="4"/>
  <c r="M239" i="4" s="1"/>
  <c r="L199" i="4"/>
  <c r="M199" i="4" s="1"/>
  <c r="L179" i="4"/>
  <c r="M179" i="4" s="1"/>
  <c r="L139" i="4"/>
  <c r="M117" i="4"/>
  <c r="M96" i="4"/>
  <c r="M95" i="4"/>
  <c r="M74" i="4"/>
  <c r="L258" i="4"/>
  <c r="M258" i="4" s="1"/>
  <c r="L198" i="4"/>
  <c r="M198" i="4" s="1"/>
  <c r="M116" i="4"/>
  <c r="M75" i="4"/>
  <c r="M114" i="4"/>
  <c r="L256" i="4"/>
  <c r="M256" i="4" s="1"/>
  <c r="L216" i="4"/>
  <c r="M216" i="4" s="1"/>
  <c r="L156" i="4"/>
  <c r="M156" i="4" s="1"/>
  <c r="L36" i="4"/>
  <c r="M36" i="4" s="1"/>
  <c r="L16" i="4"/>
  <c r="M16" i="4" s="1"/>
  <c r="M37" i="4"/>
  <c r="M255" i="4"/>
  <c r="M195" i="4"/>
  <c r="M135" i="4"/>
  <c r="M15" i="4"/>
  <c r="M234" i="4"/>
  <c r="M174" i="4"/>
  <c r="M34" i="4"/>
  <c r="L235" i="4"/>
  <c r="M235" i="4" s="1"/>
  <c r="L35" i="4"/>
  <c r="M35" i="4" s="1"/>
  <c r="M2" i="4"/>
  <c r="M257" i="4"/>
  <c r="M17" i="4"/>
  <c r="M254" i="4"/>
  <c r="M194" i="4"/>
  <c r="M134" i="4"/>
  <c r="M1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69F441-7441-40EE-B8C2-DFDDEC680A84}" keepAlive="1" name="Consulta - Marco05" description="Conexión a la consulta 'Marco05' en el libro." type="5" refreshedVersion="8" background="1" saveData="1">
    <dbPr connection="Provider=Microsoft.Mashup.OleDb.1;Data Source=$Workbook$;Location=Marco05;Extended Properties=&quot;&quot;" command="SELECT * FROM [Marco05]"/>
  </connection>
</connections>
</file>

<file path=xl/sharedStrings.xml><?xml version="1.0" encoding="utf-8"?>
<sst xmlns="http://schemas.openxmlformats.org/spreadsheetml/2006/main" count="4917" uniqueCount="997">
  <si>
    <t>id</t>
  </si>
  <si>
    <t>tipo_doc</t>
  </si>
  <si>
    <t>apellido_paterno</t>
  </si>
  <si>
    <t>apellido_materno</t>
  </si>
  <si>
    <t>nombres</t>
  </si>
  <si>
    <t>sede_provincial_id</t>
  </si>
  <si>
    <t>local_id</t>
  </si>
  <si>
    <t>num_aula</t>
  </si>
  <si>
    <t>tipo_postulante_id</t>
  </si>
  <si>
    <t>BAGUA</t>
  </si>
  <si>
    <t>RAMIREZ</t>
  </si>
  <si>
    <t>CASTILLO</t>
  </si>
  <si>
    <t>SALAZAR</t>
  </si>
  <si>
    <t>HERRERA</t>
  </si>
  <si>
    <t>HUAMAN</t>
  </si>
  <si>
    <t>SANCHEZ</t>
  </si>
  <si>
    <t>ALTAMIRANO</t>
  </si>
  <si>
    <t>ROJAS</t>
  </si>
  <si>
    <t>JOSE LUIS</t>
  </si>
  <si>
    <t>SANTA CRUZ</t>
  </si>
  <si>
    <t>DELIA</t>
  </si>
  <si>
    <t>BARDALES</t>
  </si>
  <si>
    <t>QUISPE</t>
  </si>
  <si>
    <t>RODRIGUEZ</t>
  </si>
  <si>
    <t>NISIDA</t>
  </si>
  <si>
    <t>PISCO</t>
  </si>
  <si>
    <t>TRUJILLO</t>
  </si>
  <si>
    <t>RAMOS</t>
  </si>
  <si>
    <t>BONGARA (Jazán)</t>
  </si>
  <si>
    <t>BAZAN</t>
  </si>
  <si>
    <t>CHACHAPOYAS</t>
  </si>
  <si>
    <t>BARRANTES</t>
  </si>
  <si>
    <t>GLADIS</t>
  </si>
  <si>
    <t>JESUS</t>
  </si>
  <si>
    <t>BOCANEGRA</t>
  </si>
  <si>
    <t>BECERRA</t>
  </si>
  <si>
    <t>CASTRO</t>
  </si>
  <si>
    <t>MARITZA</t>
  </si>
  <si>
    <t>BARBOZA</t>
  </si>
  <si>
    <t>CAMPOS</t>
  </si>
  <si>
    <t>MONTENEGRO</t>
  </si>
  <si>
    <t>CHOTA</t>
  </si>
  <si>
    <t>AURORA</t>
  </si>
  <si>
    <t>JAEN 1</t>
  </si>
  <si>
    <t>ALVAREZ</t>
  </si>
  <si>
    <t>SUAREZ</t>
  </si>
  <si>
    <t>CABRERA</t>
  </si>
  <si>
    <t>ARTEAGA</t>
  </si>
  <si>
    <t>ALCANTARA</t>
  </si>
  <si>
    <t>JAEN 2</t>
  </si>
  <si>
    <t>ALVITES</t>
  </si>
  <si>
    <t>BRAVO</t>
  </si>
  <si>
    <t>LLANOS</t>
  </si>
  <si>
    <t>CALDERON</t>
  </si>
  <si>
    <t>HURTADO</t>
  </si>
  <si>
    <t>ABAD</t>
  </si>
  <si>
    <t>LUYA</t>
  </si>
  <si>
    <t>BAUTISTA</t>
  </si>
  <si>
    <t>NIEVA CONDORCANQUI</t>
  </si>
  <si>
    <t>RODRIGUEZ DE MENDOZA</t>
  </si>
  <si>
    <t>SAN IGNACIO 1</t>
  </si>
  <si>
    <t>URBINA</t>
  </si>
  <si>
    <t>SAN IGNACIO 2</t>
  </si>
  <si>
    <t>LLONTOP</t>
  </si>
  <si>
    <t>UTCUBAMBA</t>
  </si>
  <si>
    <t>CONCEPCION</t>
  </si>
  <si>
    <t>CASMA</t>
  </si>
  <si>
    <t>HUARMEY</t>
  </si>
  <si>
    <t>PALLASCA</t>
  </si>
  <si>
    <t>SANTA 1</t>
  </si>
  <si>
    <t>CALLAO</t>
  </si>
  <si>
    <t>SANTA 2</t>
  </si>
  <si>
    <t>SANTA 3</t>
  </si>
  <si>
    <t>BOLOGNESI</t>
  </si>
  <si>
    <t>CARHUAZ</t>
  </si>
  <si>
    <t>CARLOS FERMIN FITZCARRALD-ASUNCION</t>
  </si>
  <si>
    <t>HUARAZ</t>
  </si>
  <si>
    <t>GERSON</t>
  </si>
  <si>
    <t>HUARI-ANTONIO RAIMONDI</t>
  </si>
  <si>
    <t>GRAU</t>
  </si>
  <si>
    <t>HUAYLAS</t>
  </si>
  <si>
    <t>POMABAMBA-MARISCAL LUZURIAGA</t>
  </si>
  <si>
    <t>TITO</t>
  </si>
  <si>
    <t>RECUAY-AIJA</t>
  </si>
  <si>
    <t>SIHUAS-CORONGO</t>
  </si>
  <si>
    <t>YUNGAY</t>
  </si>
  <si>
    <t>ABANCAY-ANTABAMBA</t>
  </si>
  <si>
    <t>CHOLAN</t>
  </si>
  <si>
    <t>ANDAHUAYLAS</t>
  </si>
  <si>
    <t>RIMAC</t>
  </si>
  <si>
    <t>AYMARAES</t>
  </si>
  <si>
    <t>CHINCHEROS</t>
  </si>
  <si>
    <t>COTABAMBAS</t>
  </si>
  <si>
    <t>JAEN</t>
  </si>
  <si>
    <t>AREQUIPA</t>
  </si>
  <si>
    <t>CAMANA</t>
  </si>
  <si>
    <t>CARAVELI (Chala)</t>
  </si>
  <si>
    <t>CASTILLA-LA UNION-CONDESUYOS</t>
  </si>
  <si>
    <t>TAMBO</t>
  </si>
  <si>
    <t>CAYLLOMA</t>
  </si>
  <si>
    <t>CERRO COLORADO 1-CAYMA</t>
  </si>
  <si>
    <t>CERRO COLORADO 2-YURA</t>
  </si>
  <si>
    <t>GAMARRA</t>
  </si>
  <si>
    <t>ISLAY</t>
  </si>
  <si>
    <t>SACHACA-TIABAYA</t>
  </si>
  <si>
    <t>ALTO SELVA ALEGRE</t>
  </si>
  <si>
    <t>JACOBO HUNTER</t>
  </si>
  <si>
    <t>CARDOZO</t>
  </si>
  <si>
    <t>LA JOYA</t>
  </si>
  <si>
    <t>MAJES</t>
  </si>
  <si>
    <t>CARHUAJULCA</t>
  </si>
  <si>
    <t>MELGAR</t>
  </si>
  <si>
    <t>MARIANO MELGAR-MIRAFLORES</t>
  </si>
  <si>
    <t>PAUCARPATA</t>
  </si>
  <si>
    <t>SOCABAYA-JOSE LUIS BUSTAMANTE Y RIVERO</t>
  </si>
  <si>
    <t>CHICLAYO</t>
  </si>
  <si>
    <t>CANGALLO-VILCAS HUAMAN</t>
  </si>
  <si>
    <t>HUAMANGA 1</t>
  </si>
  <si>
    <t>BANDA</t>
  </si>
  <si>
    <t>ETELVINA</t>
  </si>
  <si>
    <t>HUAMANGA 2-HUANCASANCOS</t>
  </si>
  <si>
    <t>HUANTA</t>
  </si>
  <si>
    <t>LA CONVENCION (PICHARI)</t>
  </si>
  <si>
    <t>LIBERIO</t>
  </si>
  <si>
    <t>LA MAR (Tambo)</t>
  </si>
  <si>
    <t>VICTOR FAJARDO-SUCRE</t>
  </si>
  <si>
    <t>BOLIVAR</t>
  </si>
  <si>
    <t>CAJABAMBA</t>
  </si>
  <si>
    <t>ATALAYA</t>
  </si>
  <si>
    <t>CAJAMARCA 1</t>
  </si>
  <si>
    <t>CAJAMARCA 2</t>
  </si>
  <si>
    <t>CAJAMARCA 3</t>
  </si>
  <si>
    <t>CELENDIN</t>
  </si>
  <si>
    <t>CONTUMAZA</t>
  </si>
  <si>
    <t>CUTERVO</t>
  </si>
  <si>
    <t>HUALGAYOC</t>
  </si>
  <si>
    <t>SAN MARCOS</t>
  </si>
  <si>
    <t>SAN MIGUEL (PALLEQUES)</t>
  </si>
  <si>
    <t>SAN PABLO</t>
  </si>
  <si>
    <t>CALLAO 1</t>
  </si>
  <si>
    <t>CALLAO 2</t>
  </si>
  <si>
    <t>LLATA</t>
  </si>
  <si>
    <t>AMARILIS</t>
  </si>
  <si>
    <t>CALLAO 3</t>
  </si>
  <si>
    <t>VENTANILLA 1</t>
  </si>
  <si>
    <t>VENTANILLA 2</t>
  </si>
  <si>
    <t>ACOMAYO</t>
  </si>
  <si>
    <t>ANTA</t>
  </si>
  <si>
    <t>CALCA</t>
  </si>
  <si>
    <t>CANCHIS</t>
  </si>
  <si>
    <t>ADRIANZEN</t>
  </si>
  <si>
    <t>CHUMBIVILCAS</t>
  </si>
  <si>
    <t>CUSCO 1-MANU</t>
  </si>
  <si>
    <t>CUSCO 2-PARURO</t>
  </si>
  <si>
    <t>ESPINAR-CANAS</t>
  </si>
  <si>
    <t>LA CONVENCION (QUILLABAMBA)</t>
  </si>
  <si>
    <t>PAUCARTAMBO</t>
  </si>
  <si>
    <t>QUISPICANCHI</t>
  </si>
  <si>
    <t>URUBAMBA</t>
  </si>
  <si>
    <t>ACOBAMBA</t>
  </si>
  <si>
    <t>ANGARAES</t>
  </si>
  <si>
    <t>CHURCAMPA</t>
  </si>
  <si>
    <t>HUANCAVELICA-CASTROVIRREYNA</t>
  </si>
  <si>
    <t>TAYACAJA</t>
  </si>
  <si>
    <t>AMBO</t>
  </si>
  <si>
    <t>DOS DE MAYO</t>
  </si>
  <si>
    <t>HUAMALIES</t>
  </si>
  <si>
    <t>LUCANAS</t>
  </si>
  <si>
    <t>CASTILLA</t>
  </si>
  <si>
    <t>HUANUCO 1-HUACAYBAMBA</t>
  </si>
  <si>
    <t>RIOJA</t>
  </si>
  <si>
    <t>HUANUCO 2</t>
  </si>
  <si>
    <t>LORETO</t>
  </si>
  <si>
    <t>OCAÑA</t>
  </si>
  <si>
    <t>PIOC</t>
  </si>
  <si>
    <t>MARAÑON</t>
  </si>
  <si>
    <t>LAURICOCHA</t>
  </si>
  <si>
    <t>LEONCIO PRADO</t>
  </si>
  <si>
    <t>LIMA</t>
  </si>
  <si>
    <t>PACHITEA</t>
  </si>
  <si>
    <t>YAROWILCA</t>
  </si>
  <si>
    <t>AMPUSH</t>
  </si>
  <si>
    <t>CHINCHA 1</t>
  </si>
  <si>
    <t>CHINCHA 2</t>
  </si>
  <si>
    <t>HUAYTARA</t>
  </si>
  <si>
    <t>ICA 1</t>
  </si>
  <si>
    <t>ICA 2</t>
  </si>
  <si>
    <t>PASCO</t>
  </si>
  <si>
    <t>NAZCA-PALPA</t>
  </si>
  <si>
    <t>PARINACOCHAS-PAUSA</t>
  </si>
  <si>
    <t>TICLIA</t>
  </si>
  <si>
    <t>CHANCHAMAYO</t>
  </si>
  <si>
    <t>CHUPACA</t>
  </si>
  <si>
    <t>HUANCAYO 1</t>
  </si>
  <si>
    <t>HUANCAYO 2</t>
  </si>
  <si>
    <t>HUANCAYO 3</t>
  </si>
  <si>
    <t>JAUJA</t>
  </si>
  <si>
    <t>SATIPO 1</t>
  </si>
  <si>
    <t>JESUS MARIA</t>
  </si>
  <si>
    <t>SATIPO 2</t>
  </si>
  <si>
    <t>TARMA</t>
  </si>
  <si>
    <t>YAULI-JUNIN</t>
  </si>
  <si>
    <t>ASCOPE</t>
  </si>
  <si>
    <t>CHEPEN</t>
  </si>
  <si>
    <t>GRAN CHIMU</t>
  </si>
  <si>
    <t>ROSA ELVA</t>
  </si>
  <si>
    <t>REQUENA</t>
  </si>
  <si>
    <t>PACASMAYO</t>
  </si>
  <si>
    <t>CARHUATAY</t>
  </si>
  <si>
    <t>TRUJILLO 2 (La Esperanza)</t>
  </si>
  <si>
    <t>TRUJILLO 3 (Nor Oeste)</t>
  </si>
  <si>
    <t>ROSA SENOVIA</t>
  </si>
  <si>
    <t>VIRU</t>
  </si>
  <si>
    <t>JULCAN</t>
  </si>
  <si>
    <t>OTUZCO</t>
  </si>
  <si>
    <t>PATAZ</t>
  </si>
  <si>
    <t>SANCHEZ CARRION 1</t>
  </si>
  <si>
    <t>SANCHEZ CARRION 2</t>
  </si>
  <si>
    <t>SANTIAGO DE CHUCO</t>
  </si>
  <si>
    <t>TRUJILLO 1 (El Porvenir)</t>
  </si>
  <si>
    <t>TRUJILLO 4 (Sur Este)</t>
  </si>
  <si>
    <t>CHICLAYO 1</t>
  </si>
  <si>
    <t>SANTA</t>
  </si>
  <si>
    <t>CHICLAYO 2</t>
  </si>
  <si>
    <t>CHICLAYO 3</t>
  </si>
  <si>
    <t>CHICLAYO 4</t>
  </si>
  <si>
    <t>TSAJUPUT</t>
  </si>
  <si>
    <t>FERREÑAFE</t>
  </si>
  <si>
    <t>LAMBAYEQUE 1</t>
  </si>
  <si>
    <t>LAMBAYEQUE 2</t>
  </si>
  <si>
    <t>AKINTUI</t>
  </si>
  <si>
    <t>BAKUANTS</t>
  </si>
  <si>
    <t>LAMBAYEQUE 3</t>
  </si>
  <si>
    <t>LURIN</t>
  </si>
  <si>
    <t>PACHACAMAC</t>
  </si>
  <si>
    <t>SAN BARTOLO</t>
  </si>
  <si>
    <t>SAN JUAN DE MIRAFLORES 1</t>
  </si>
  <si>
    <t>SAN JUAN DE MIRAFLORES 2</t>
  </si>
  <si>
    <t>AWANASH</t>
  </si>
  <si>
    <t>VILLA EL SALVADOR 1</t>
  </si>
  <si>
    <t>VILLA EL SALVADOR 2</t>
  </si>
  <si>
    <t>VILLA MARIA DEL TRIUNFO 1</t>
  </si>
  <si>
    <t>WACHAPEA</t>
  </si>
  <si>
    <t>VILLA MARIA DEL TRIUNFO 2</t>
  </si>
  <si>
    <t>INDEPENDENCIA</t>
  </si>
  <si>
    <t>LOS OLIVOS 1</t>
  </si>
  <si>
    <t>BITAP</t>
  </si>
  <si>
    <t>LOS OLIVOS 2</t>
  </si>
  <si>
    <t>SAN MARTIN DE PORRES 1</t>
  </si>
  <si>
    <t>SAN MARTIN DE PORRES 2</t>
  </si>
  <si>
    <t>SAN MARTIN DE PORRES 3</t>
  </si>
  <si>
    <t>BREÑA</t>
  </si>
  <si>
    <t>JESUS MARIA-SAN ISIDRO-LINCE</t>
  </si>
  <si>
    <t>LA VICTORIA</t>
  </si>
  <si>
    <t>PUEBLO LIBRE-MAGDALENA DEL MAR</t>
  </si>
  <si>
    <t>SAN MIGUEL</t>
  </si>
  <si>
    <t>ANCON</t>
  </si>
  <si>
    <t>CARABAYLLO 1-CANTA</t>
  </si>
  <si>
    <t>CARABAYLLO 2</t>
  </si>
  <si>
    <t>WAJUSH</t>
  </si>
  <si>
    <t>CHAMIKAG</t>
  </si>
  <si>
    <t>AYUI</t>
  </si>
  <si>
    <t>ANTUNCE</t>
  </si>
  <si>
    <t>COMAS 1</t>
  </si>
  <si>
    <t>NAYAP</t>
  </si>
  <si>
    <t>AKUTS</t>
  </si>
  <si>
    <t>COMAS 2</t>
  </si>
  <si>
    <t>YAMPIAG</t>
  </si>
  <si>
    <t>PUENTE PIEDRA 1</t>
  </si>
  <si>
    <t>PUENTE PIEDRA 2-SANTA ROSA</t>
  </si>
  <si>
    <t>EL AGUSTINO</t>
  </si>
  <si>
    <t>SAN JUAN DE LURIGANCHO 1</t>
  </si>
  <si>
    <t>SAN JUAN DE LURIGANCHO 2</t>
  </si>
  <si>
    <t>SAN JUAN DE LURIGANCHO 3</t>
  </si>
  <si>
    <t>SAN JUAN DE LURIGANCHO 4</t>
  </si>
  <si>
    <t>SAN JUAN DE LURIGANCHO 5</t>
  </si>
  <si>
    <t>SAN JUAN DE LURIGANCHO 6</t>
  </si>
  <si>
    <t>ATE 1</t>
  </si>
  <si>
    <t>ATE 2</t>
  </si>
  <si>
    <t>ATE 3</t>
  </si>
  <si>
    <t>LA MOLINA-CIENEGUILLA</t>
  </si>
  <si>
    <t>LURIGANCHO 1</t>
  </si>
  <si>
    <t>LURIGANCHO 2</t>
  </si>
  <si>
    <t>SANTA ANITA</t>
  </si>
  <si>
    <t>BARRANCO</t>
  </si>
  <si>
    <t>CHORRILLOS</t>
  </si>
  <si>
    <t>NIEVA</t>
  </si>
  <si>
    <t>MIRAFLORES-SURQUILLO</t>
  </si>
  <si>
    <t>SAN BORJA-SAN LUIS</t>
  </si>
  <si>
    <t>SANTIAGO DE SURCO</t>
  </si>
  <si>
    <t>CAÑETE 1</t>
  </si>
  <si>
    <t>CAÑETE 2</t>
  </si>
  <si>
    <t>HUAROCHIRI</t>
  </si>
  <si>
    <t>YAUYOS</t>
  </si>
  <si>
    <t>BARRANCA-OCROS-CAJATAMBO</t>
  </si>
  <si>
    <t>HUARAL</t>
  </si>
  <si>
    <t>HUAURA 1</t>
  </si>
  <si>
    <t>HUAURA 2</t>
  </si>
  <si>
    <t>OYON</t>
  </si>
  <si>
    <t>MARISCAL RAMON CASTILLA</t>
  </si>
  <si>
    <t>MAYNAS 1 (IQUITOS)</t>
  </si>
  <si>
    <t>MAYNAS 2 (San Juan Bautista)</t>
  </si>
  <si>
    <t>MAYNAS 3 (PUNCHANA)</t>
  </si>
  <si>
    <t>TAMBOPATA 1</t>
  </si>
  <si>
    <t>TAMBOPATA 2-TAHUAMANU</t>
  </si>
  <si>
    <t>GENERAL SANCHEZ CERRO</t>
  </si>
  <si>
    <t>ILO</t>
  </si>
  <si>
    <t>MARISCAL NIETO</t>
  </si>
  <si>
    <t>DANIEL ALCIDES CARRION</t>
  </si>
  <si>
    <t>OXAPAMPA (OXAPAMPA)</t>
  </si>
  <si>
    <t>OXAPAMPA (Puerto Bermúdez)</t>
  </si>
  <si>
    <t>PASCO 1</t>
  </si>
  <si>
    <t>PASCO 2</t>
  </si>
  <si>
    <t>AYABACA</t>
  </si>
  <si>
    <t>HUANCABAMBA</t>
  </si>
  <si>
    <t>MORROPON (Chulucanas)</t>
  </si>
  <si>
    <t>MORROPON (MORROPON)</t>
  </si>
  <si>
    <t>PAITA</t>
  </si>
  <si>
    <t>PIURA 1</t>
  </si>
  <si>
    <t>PIURA 2</t>
  </si>
  <si>
    <t>PIURA 3</t>
  </si>
  <si>
    <t>PIURA 4</t>
  </si>
  <si>
    <t>SECHURA</t>
  </si>
  <si>
    <t>SULLANA 1</t>
  </si>
  <si>
    <t>SULLANA 2</t>
  </si>
  <si>
    <t>TALARA</t>
  </si>
  <si>
    <t>AZANGARO</t>
  </si>
  <si>
    <t>CARABAYA</t>
  </si>
  <si>
    <t>CHUCUITO</t>
  </si>
  <si>
    <t>EL COLLAO</t>
  </si>
  <si>
    <t>HUANCANE-MOHO</t>
  </si>
  <si>
    <t>MELGAR-LAMPA</t>
  </si>
  <si>
    <t>PUNO</t>
  </si>
  <si>
    <t>SAN ANTONIO DE PUTINA</t>
  </si>
  <si>
    <t>SAN ROMAN 1</t>
  </si>
  <si>
    <t>SAN ROMAN 2</t>
  </si>
  <si>
    <t>SANDIA</t>
  </si>
  <si>
    <t>YUNGUYO</t>
  </si>
  <si>
    <t>EL DORADO</t>
  </si>
  <si>
    <t>LAMAS</t>
  </si>
  <si>
    <t>MOYOBAMBA</t>
  </si>
  <si>
    <t>ALTO AMAZONAS</t>
  </si>
  <si>
    <t>SEGUNDO RUFINO</t>
  </si>
  <si>
    <t>BELLAVISTA</t>
  </si>
  <si>
    <t>DATEM DEL MARAÑON</t>
  </si>
  <si>
    <t>HUALLAGA</t>
  </si>
  <si>
    <t>MARISCAL CACERES</t>
  </si>
  <si>
    <t>PICOTA</t>
  </si>
  <si>
    <t>SAN MARTIN</t>
  </si>
  <si>
    <t>TOCACHE</t>
  </si>
  <si>
    <t>TACNA 1-JORGE BASADRE</t>
  </si>
  <si>
    <t>TACNA 2-TARATA-CANDARAVE</t>
  </si>
  <si>
    <t>TUMBES 1</t>
  </si>
  <si>
    <t>TUMBES 2-CONTRALMIRANTE VILLAR</t>
  </si>
  <si>
    <t>ZARUMILLA</t>
  </si>
  <si>
    <t>CORONEL PORTILLO 1-PURUS</t>
  </si>
  <si>
    <t>CORONEL PORTILLO 2</t>
  </si>
  <si>
    <t>CORONEL PORTILLO 3</t>
  </si>
  <si>
    <t>PADRE ABAD</t>
  </si>
  <si>
    <t>PUERTO INCA</t>
  </si>
  <si>
    <t>UCAYALI</t>
  </si>
  <si>
    <t>40528764</t>
  </si>
  <si>
    <t>40833388</t>
  </si>
  <si>
    <t>41623983</t>
  </si>
  <si>
    <t>42085642</t>
  </si>
  <si>
    <t>44599927</t>
  </si>
  <si>
    <t>160601</t>
  </si>
  <si>
    <t>CONTAMANA</t>
  </si>
  <si>
    <t>01</t>
  </si>
  <si>
    <t>06</t>
  </si>
  <si>
    <t>16</t>
  </si>
  <si>
    <t>07</t>
  </si>
  <si>
    <t>37</t>
  </si>
  <si>
    <t>ODEI</t>
  </si>
  <si>
    <t>100901</t>
  </si>
  <si>
    <t>09</t>
  </si>
  <si>
    <t>HUANUCO</t>
  </si>
  <si>
    <t>10</t>
  </si>
  <si>
    <t>250301</t>
  </si>
  <si>
    <t>03</t>
  </si>
  <si>
    <t>25</t>
  </si>
  <si>
    <t>05</t>
  </si>
  <si>
    <t>250101C</t>
  </si>
  <si>
    <t>CALLERIA</t>
  </si>
  <si>
    <t>01C</t>
  </si>
  <si>
    <t>CORONEL PORTILLO</t>
  </si>
  <si>
    <t>04</t>
  </si>
  <si>
    <t>250101B</t>
  </si>
  <si>
    <t>01B</t>
  </si>
  <si>
    <t>250101A</t>
  </si>
  <si>
    <t>01A</t>
  </si>
  <si>
    <t>02</t>
  </si>
  <si>
    <t>250201</t>
  </si>
  <si>
    <t>RAYMONDI</t>
  </si>
  <si>
    <t>240301</t>
  </si>
  <si>
    <t>TUMBES</t>
  </si>
  <si>
    <t>24</t>
  </si>
  <si>
    <t>36</t>
  </si>
  <si>
    <t>240101B</t>
  </si>
  <si>
    <t>240101A</t>
  </si>
  <si>
    <t>230101B</t>
  </si>
  <si>
    <t>TACNA</t>
  </si>
  <si>
    <t>23</t>
  </si>
  <si>
    <t>35</t>
  </si>
  <si>
    <t>230101A</t>
  </si>
  <si>
    <t>221001</t>
  </si>
  <si>
    <t>22</t>
  </si>
  <si>
    <t>08</t>
  </si>
  <si>
    <t>SAN MARTIN-TARAPOTO</t>
  </si>
  <si>
    <t>34</t>
  </si>
  <si>
    <t>220901</t>
  </si>
  <si>
    <t>TARAPOTO</t>
  </si>
  <si>
    <t>220701</t>
  </si>
  <si>
    <t>220601</t>
  </si>
  <si>
    <t>JUANJUI</t>
  </si>
  <si>
    <t>220401</t>
  </si>
  <si>
    <t>SAPOSOA</t>
  </si>
  <si>
    <t>160701</t>
  </si>
  <si>
    <t>BARRANCA</t>
  </si>
  <si>
    <t>220201</t>
  </si>
  <si>
    <t>160201</t>
  </si>
  <si>
    <t>YURIMAGUAS</t>
  </si>
  <si>
    <t>220801</t>
  </si>
  <si>
    <t>SAN MARTIN-MOYOBAMBA</t>
  </si>
  <si>
    <t>33</t>
  </si>
  <si>
    <t>220101</t>
  </si>
  <si>
    <t>220501</t>
  </si>
  <si>
    <t>220301</t>
  </si>
  <si>
    <t>SAN JOSE DE SISA</t>
  </si>
  <si>
    <t>211301</t>
  </si>
  <si>
    <t>13</t>
  </si>
  <si>
    <t>21</t>
  </si>
  <si>
    <t>12</t>
  </si>
  <si>
    <t>32</t>
  </si>
  <si>
    <t>211201</t>
  </si>
  <si>
    <t>11</t>
  </si>
  <si>
    <t>211101B</t>
  </si>
  <si>
    <t>JULIACA</t>
  </si>
  <si>
    <t>SAN ROMAN</t>
  </si>
  <si>
    <t>211101A</t>
  </si>
  <si>
    <t>211001</t>
  </si>
  <si>
    <t>PUTINA</t>
  </si>
  <si>
    <t>210101</t>
  </si>
  <si>
    <t>210801</t>
  </si>
  <si>
    <t>AYAVIRI</t>
  </si>
  <si>
    <t>210601</t>
  </si>
  <si>
    <t>HUANCANE</t>
  </si>
  <si>
    <t>210501</t>
  </si>
  <si>
    <t>ILAVE</t>
  </si>
  <si>
    <t>210401</t>
  </si>
  <si>
    <t>JULI</t>
  </si>
  <si>
    <t>210301</t>
  </si>
  <si>
    <t>MACUSANI</t>
  </si>
  <si>
    <t>210201</t>
  </si>
  <si>
    <t>200701</t>
  </si>
  <si>
    <t>PARIÑAS</t>
  </si>
  <si>
    <t>PIURA</t>
  </si>
  <si>
    <t>20</t>
  </si>
  <si>
    <t>31</t>
  </si>
  <si>
    <t>200601B</t>
  </si>
  <si>
    <t>SULLANA</t>
  </si>
  <si>
    <t>200601A</t>
  </si>
  <si>
    <t>200801</t>
  </si>
  <si>
    <t>200101E</t>
  </si>
  <si>
    <t>01E</t>
  </si>
  <si>
    <t>200101D</t>
  </si>
  <si>
    <t>01D</t>
  </si>
  <si>
    <t>200101B</t>
  </si>
  <si>
    <t>200101A</t>
  </si>
  <si>
    <t>200501</t>
  </si>
  <si>
    <t>200405</t>
  </si>
  <si>
    <t>MORROPON</t>
  </si>
  <si>
    <t>200401</t>
  </si>
  <si>
    <t>CHULUCANAS</t>
  </si>
  <si>
    <t>200301</t>
  </si>
  <si>
    <t>200201</t>
  </si>
  <si>
    <t>190101B</t>
  </si>
  <si>
    <t>CHAUPIMARCA</t>
  </si>
  <si>
    <t>19</t>
  </si>
  <si>
    <t>30</t>
  </si>
  <si>
    <t>190101A</t>
  </si>
  <si>
    <t>190306</t>
  </si>
  <si>
    <t>PUERTO BERMUDEZ</t>
  </si>
  <si>
    <t>OXAPAMPA</t>
  </si>
  <si>
    <t>OXAPAMPA (Puerto Bermudez)</t>
  </si>
  <si>
    <t>190301</t>
  </si>
  <si>
    <t>190201</t>
  </si>
  <si>
    <t>YANAHUANCA</t>
  </si>
  <si>
    <t>180101</t>
  </si>
  <si>
    <t>MOQUEGUA</t>
  </si>
  <si>
    <t>18</t>
  </si>
  <si>
    <t>29</t>
  </si>
  <si>
    <t>180301</t>
  </si>
  <si>
    <t>180201</t>
  </si>
  <si>
    <t>OMATE</t>
  </si>
  <si>
    <t>170101B</t>
  </si>
  <si>
    <t>TAMBOPATA</t>
  </si>
  <si>
    <t>MADRE DE DIOS</t>
  </si>
  <si>
    <t>17</t>
  </si>
  <si>
    <t>28</t>
  </si>
  <si>
    <t>170101A</t>
  </si>
  <si>
    <t>160501</t>
  </si>
  <si>
    <t>27</t>
  </si>
  <si>
    <t>160108</t>
  </si>
  <si>
    <t>PUNCHANA</t>
  </si>
  <si>
    <t>MAYNAS</t>
  </si>
  <si>
    <t>160113</t>
  </si>
  <si>
    <t>SAN JUAN BAUTISTA</t>
  </si>
  <si>
    <t>160101</t>
  </si>
  <si>
    <t>IQUITOS</t>
  </si>
  <si>
    <t>160401</t>
  </si>
  <si>
    <t>RAMON CASTILLA</t>
  </si>
  <si>
    <t>160301</t>
  </si>
  <si>
    <t>NAUTA</t>
  </si>
  <si>
    <t>150901</t>
  </si>
  <si>
    <t>15</t>
  </si>
  <si>
    <t>LIMA-HUACHO</t>
  </si>
  <si>
    <t>26</t>
  </si>
  <si>
    <t>LIMA PROVINCIAS-HUACHO</t>
  </si>
  <si>
    <t>150801B</t>
  </si>
  <si>
    <t>HUACHO</t>
  </si>
  <si>
    <t>HUAURA</t>
  </si>
  <si>
    <t>150801A</t>
  </si>
  <si>
    <t>150601</t>
  </si>
  <si>
    <t>150201</t>
  </si>
  <si>
    <t>151001</t>
  </si>
  <si>
    <t>LIMA-CAÑETE</t>
  </si>
  <si>
    <t>150701</t>
  </si>
  <si>
    <t>MATUCANA</t>
  </si>
  <si>
    <t>150501B</t>
  </si>
  <si>
    <t>SAN VICENTE DE CAÑETE</t>
  </si>
  <si>
    <t>CAÑETE</t>
  </si>
  <si>
    <t>150501A</t>
  </si>
  <si>
    <t>150140</t>
  </si>
  <si>
    <t>40</t>
  </si>
  <si>
    <t>LIMA MET 7</t>
  </si>
  <si>
    <t>SEDE CENTRAL</t>
  </si>
  <si>
    <t>LIMA - CALLAO</t>
  </si>
  <si>
    <t>150134</t>
  </si>
  <si>
    <t>SAN LUIS</t>
  </si>
  <si>
    <t>150141</t>
  </si>
  <si>
    <t>SURQUILLO</t>
  </si>
  <si>
    <t>41</t>
  </si>
  <si>
    <t>150108</t>
  </si>
  <si>
    <t>150104</t>
  </si>
  <si>
    <t>150137</t>
  </si>
  <si>
    <t>LIMA MET 6</t>
  </si>
  <si>
    <t>150118B</t>
  </si>
  <si>
    <t>LURIGANCHO</t>
  </si>
  <si>
    <t>18B</t>
  </si>
  <si>
    <t>150118A</t>
  </si>
  <si>
    <t>18A</t>
  </si>
  <si>
    <t>150114</t>
  </si>
  <si>
    <t>LA MOLINA</t>
  </si>
  <si>
    <t>14</t>
  </si>
  <si>
    <t>150103C</t>
  </si>
  <si>
    <t>ATE</t>
  </si>
  <si>
    <t>03C</t>
  </si>
  <si>
    <t>150103B</t>
  </si>
  <si>
    <t>03B</t>
  </si>
  <si>
    <t>150103A</t>
  </si>
  <si>
    <t>03A</t>
  </si>
  <si>
    <t>150132F</t>
  </si>
  <si>
    <t>SAN JUAN DE LURIGANCHO</t>
  </si>
  <si>
    <t>32F</t>
  </si>
  <si>
    <t>LIMA MET 5</t>
  </si>
  <si>
    <t>150132E</t>
  </si>
  <si>
    <t>32E</t>
  </si>
  <si>
    <t>150132D</t>
  </si>
  <si>
    <t>32D</t>
  </si>
  <si>
    <t>150132C</t>
  </si>
  <si>
    <t>32C</t>
  </si>
  <si>
    <t>150132B</t>
  </si>
  <si>
    <t>32B</t>
  </si>
  <si>
    <t>150132A</t>
  </si>
  <si>
    <t>32A</t>
  </si>
  <si>
    <t>150111</t>
  </si>
  <si>
    <t>150125B</t>
  </si>
  <si>
    <t>PUENTE PIEDRA</t>
  </si>
  <si>
    <t>25B</t>
  </si>
  <si>
    <t>LIMA MET 4</t>
  </si>
  <si>
    <t>150125A</t>
  </si>
  <si>
    <t>25A</t>
  </si>
  <si>
    <t>150110B</t>
  </si>
  <si>
    <t>COMAS</t>
  </si>
  <si>
    <t>10B</t>
  </si>
  <si>
    <t>150110A</t>
  </si>
  <si>
    <t>10A</t>
  </si>
  <si>
    <t>150106B</t>
  </si>
  <si>
    <t>CARABAYLLO</t>
  </si>
  <si>
    <t>06B</t>
  </si>
  <si>
    <t>150106A</t>
  </si>
  <si>
    <t>06A</t>
  </si>
  <si>
    <t>150102</t>
  </si>
  <si>
    <t>150136</t>
  </si>
  <si>
    <t>LIMA MET 3</t>
  </si>
  <si>
    <t>150121</t>
  </si>
  <si>
    <t>MAGDALENA VIEJA</t>
  </si>
  <si>
    <t>150101</t>
  </si>
  <si>
    <t>150115</t>
  </si>
  <si>
    <t>150113</t>
  </si>
  <si>
    <t>150105</t>
  </si>
  <si>
    <t>150135C</t>
  </si>
  <si>
    <t>SAN MARTIN DE PORRES</t>
  </si>
  <si>
    <t>35C</t>
  </si>
  <si>
    <t>LIMA MET 2</t>
  </si>
  <si>
    <t>150135B</t>
  </si>
  <si>
    <t>35B</t>
  </si>
  <si>
    <t>150135A</t>
  </si>
  <si>
    <t>35A</t>
  </si>
  <si>
    <t>150128</t>
  </si>
  <si>
    <t>150117B</t>
  </si>
  <si>
    <t>LOS OLIVOS</t>
  </si>
  <si>
    <t>17B</t>
  </si>
  <si>
    <t>150117A</t>
  </si>
  <si>
    <t>17A</t>
  </si>
  <si>
    <t>150112</t>
  </si>
  <si>
    <t>150143B</t>
  </si>
  <si>
    <t>VILLA MARIA DEL TRIUNFO</t>
  </si>
  <si>
    <t>43B</t>
  </si>
  <si>
    <t>LIMA MET 1</t>
  </si>
  <si>
    <t>150143A</t>
  </si>
  <si>
    <t>43A</t>
  </si>
  <si>
    <t>150142B</t>
  </si>
  <si>
    <t>VILLA EL SALVADOR</t>
  </si>
  <si>
    <t>42B</t>
  </si>
  <si>
    <t>150142A</t>
  </si>
  <si>
    <t>42A</t>
  </si>
  <si>
    <t>150133B</t>
  </si>
  <si>
    <t>SAN JUAN DE MIRAFLORES</t>
  </si>
  <si>
    <t>33B</t>
  </si>
  <si>
    <t>150133A</t>
  </si>
  <si>
    <t>33A</t>
  </si>
  <si>
    <t>150129</t>
  </si>
  <si>
    <t>150123</t>
  </si>
  <si>
    <t>150119</t>
  </si>
  <si>
    <t>140301C</t>
  </si>
  <si>
    <t>LAMBAYEQUE</t>
  </si>
  <si>
    <t>140301B</t>
  </si>
  <si>
    <t>140301A</t>
  </si>
  <si>
    <t>140201</t>
  </si>
  <si>
    <t>140101D</t>
  </si>
  <si>
    <t>140101C</t>
  </si>
  <si>
    <t>140101B</t>
  </si>
  <si>
    <t>140101A</t>
  </si>
  <si>
    <t>130101B</t>
  </si>
  <si>
    <t>LA LIBERTAD</t>
  </si>
  <si>
    <t>LA LIBERTAD-SUR ESTE</t>
  </si>
  <si>
    <t>130102</t>
  </si>
  <si>
    <t>EL PORVENIR</t>
  </si>
  <si>
    <t>131001</t>
  </si>
  <si>
    <t>130901B</t>
  </si>
  <si>
    <t>HUAMACHUCO</t>
  </si>
  <si>
    <t>SANCHEZ CARRION</t>
  </si>
  <si>
    <t>130901A</t>
  </si>
  <si>
    <t>130801</t>
  </si>
  <si>
    <t>TAYABAMBA</t>
  </si>
  <si>
    <t>130601</t>
  </si>
  <si>
    <t>130501</t>
  </si>
  <si>
    <t>131201</t>
  </si>
  <si>
    <t>LA LIBERTAD-NOR OESTE</t>
  </si>
  <si>
    <t>130101A</t>
  </si>
  <si>
    <t>130105</t>
  </si>
  <si>
    <t>LA ESPERANZA</t>
  </si>
  <si>
    <t>130701</t>
  </si>
  <si>
    <t>SAN PEDRO DE LLOC</t>
  </si>
  <si>
    <t>131101</t>
  </si>
  <si>
    <t>CASCAS</t>
  </si>
  <si>
    <t>130401</t>
  </si>
  <si>
    <t>130201</t>
  </si>
  <si>
    <t>120801</t>
  </si>
  <si>
    <t>LA OROYA</t>
  </si>
  <si>
    <t>YAULI</t>
  </si>
  <si>
    <t>JUNIN</t>
  </si>
  <si>
    <t>120701</t>
  </si>
  <si>
    <t>120601B</t>
  </si>
  <si>
    <t>SATIPO</t>
  </si>
  <si>
    <t>120601A</t>
  </si>
  <si>
    <t>120401</t>
  </si>
  <si>
    <t>120101C</t>
  </si>
  <si>
    <t>HUANCAYO</t>
  </si>
  <si>
    <t>120101B</t>
  </si>
  <si>
    <t>120101A</t>
  </si>
  <si>
    <t>120201</t>
  </si>
  <si>
    <t>120901</t>
  </si>
  <si>
    <t>120301</t>
  </si>
  <si>
    <t>110501</t>
  </si>
  <si>
    <t>ICA</t>
  </si>
  <si>
    <t>050701</t>
  </si>
  <si>
    <t>CORACORA</t>
  </si>
  <si>
    <t>PARINACOCHAS</t>
  </si>
  <si>
    <t>AYACUCHO</t>
  </si>
  <si>
    <t>110301</t>
  </si>
  <si>
    <t>NASCA</t>
  </si>
  <si>
    <t>050601</t>
  </si>
  <si>
    <t>PUQUIO</t>
  </si>
  <si>
    <t>110101B</t>
  </si>
  <si>
    <t>110101A</t>
  </si>
  <si>
    <t>090601</t>
  </si>
  <si>
    <t>HUANCAVELICA</t>
  </si>
  <si>
    <t>110201B</t>
  </si>
  <si>
    <t>CHINCHA ALTA</t>
  </si>
  <si>
    <t>CHINCHA</t>
  </si>
  <si>
    <t>110201A</t>
  </si>
  <si>
    <t>101101</t>
  </si>
  <si>
    <t>CHAVINILLO</t>
  </si>
  <si>
    <t>100801</t>
  </si>
  <si>
    <t>PANAO</t>
  </si>
  <si>
    <t>100701</t>
  </si>
  <si>
    <t>HUACRACHUCO</t>
  </si>
  <si>
    <t>100601</t>
  </si>
  <si>
    <t>RUPA-RUPA</t>
  </si>
  <si>
    <t>101001</t>
  </si>
  <si>
    <t>100102</t>
  </si>
  <si>
    <t>100101</t>
  </si>
  <si>
    <t>100501</t>
  </si>
  <si>
    <t>100301</t>
  </si>
  <si>
    <t>LA UNION</t>
  </si>
  <si>
    <t>100201</t>
  </si>
  <si>
    <t>090701</t>
  </si>
  <si>
    <t>PAMPAS</t>
  </si>
  <si>
    <t>090101</t>
  </si>
  <si>
    <t>090501</t>
  </si>
  <si>
    <t>090301</t>
  </si>
  <si>
    <t>LIRCAY</t>
  </si>
  <si>
    <t>090201</t>
  </si>
  <si>
    <t>081301</t>
  </si>
  <si>
    <t>CUSCO</t>
  </si>
  <si>
    <t>081201</t>
  </si>
  <si>
    <t>URCOS</t>
  </si>
  <si>
    <t>081101</t>
  </si>
  <si>
    <t>080901</t>
  </si>
  <si>
    <t>SANTA ANA</t>
  </si>
  <si>
    <t>LA CONVENCION</t>
  </si>
  <si>
    <t>080801</t>
  </si>
  <si>
    <t>ESPINAR</t>
  </si>
  <si>
    <t>080101B</t>
  </si>
  <si>
    <t>080101A</t>
  </si>
  <si>
    <t>080701</t>
  </si>
  <si>
    <t>SANTO TOMAS</t>
  </si>
  <si>
    <t>080601</t>
  </si>
  <si>
    <t>SICUANI</t>
  </si>
  <si>
    <t>080401</t>
  </si>
  <si>
    <t>080301</t>
  </si>
  <si>
    <t>080201</t>
  </si>
  <si>
    <t>070106B</t>
  </si>
  <si>
    <t>VENTANILLA</t>
  </si>
  <si>
    <t>070106A</t>
  </si>
  <si>
    <t>070101C</t>
  </si>
  <si>
    <t>070101B</t>
  </si>
  <si>
    <t>070101A</t>
  </si>
  <si>
    <t>061301</t>
  </si>
  <si>
    <t>CAJAMARCA</t>
  </si>
  <si>
    <t>061201</t>
  </si>
  <si>
    <t>061101</t>
  </si>
  <si>
    <t>061001</t>
  </si>
  <si>
    <t>PEDRO GALVEZ</t>
  </si>
  <si>
    <t>060701</t>
  </si>
  <si>
    <t>BAMBAMARCA</t>
  </si>
  <si>
    <t>060601</t>
  </si>
  <si>
    <t>060501</t>
  </si>
  <si>
    <t>060401</t>
  </si>
  <si>
    <t>060301</t>
  </si>
  <si>
    <t>060101C</t>
  </si>
  <si>
    <t>060101B</t>
  </si>
  <si>
    <t>060101A</t>
  </si>
  <si>
    <t>060201</t>
  </si>
  <si>
    <t>130301</t>
  </si>
  <si>
    <t>051001</t>
  </si>
  <si>
    <t>HUANCAPI</t>
  </si>
  <si>
    <t>VICTOR FAJARDO</t>
  </si>
  <si>
    <t>050508</t>
  </si>
  <si>
    <t>LA MAR</t>
  </si>
  <si>
    <t>080910</t>
  </si>
  <si>
    <t>PICHARI</t>
  </si>
  <si>
    <t>050401</t>
  </si>
  <si>
    <t>050101B</t>
  </si>
  <si>
    <t>HUAMANGA</t>
  </si>
  <si>
    <t>050101A</t>
  </si>
  <si>
    <t>050201</t>
  </si>
  <si>
    <t>CANGALLO</t>
  </si>
  <si>
    <t>040122</t>
  </si>
  <si>
    <t>SOCABAYA</t>
  </si>
  <si>
    <t>AREQUIPA-SUR</t>
  </si>
  <si>
    <t>040112</t>
  </si>
  <si>
    <t>040109</t>
  </si>
  <si>
    <t>MARIANO MELGAR</t>
  </si>
  <si>
    <t>040520</t>
  </si>
  <si>
    <t>040108</t>
  </si>
  <si>
    <t>040107</t>
  </si>
  <si>
    <t>040102</t>
  </si>
  <si>
    <t>040117</t>
  </si>
  <si>
    <t>SACHACA</t>
  </si>
  <si>
    <t>AREQUIPA-NORTE</t>
  </si>
  <si>
    <t>040704</t>
  </si>
  <si>
    <t>040128</t>
  </si>
  <si>
    <t>YURA</t>
  </si>
  <si>
    <t>040103</t>
  </si>
  <si>
    <t>CAYMA</t>
  </si>
  <si>
    <t>040501</t>
  </si>
  <si>
    <t>CHIVAY</t>
  </si>
  <si>
    <t>040401</t>
  </si>
  <si>
    <t>APLAO</t>
  </si>
  <si>
    <t>040307</t>
  </si>
  <si>
    <t>CHALA</t>
  </si>
  <si>
    <t>CARAVELI</t>
  </si>
  <si>
    <t>040201</t>
  </si>
  <si>
    <t>040101</t>
  </si>
  <si>
    <t>030701</t>
  </si>
  <si>
    <t>CHUQUIBAMBILLA</t>
  </si>
  <si>
    <t>APURIMAC</t>
  </si>
  <si>
    <t>030501</t>
  </si>
  <si>
    <t>TAMBOBAMBA</t>
  </si>
  <si>
    <t>030601</t>
  </si>
  <si>
    <t>030401</t>
  </si>
  <si>
    <t>CHALHUANCA</t>
  </si>
  <si>
    <t>030201</t>
  </si>
  <si>
    <t>030101</t>
  </si>
  <si>
    <t>ABANCAY</t>
  </si>
  <si>
    <t>022001</t>
  </si>
  <si>
    <t>ANCASH</t>
  </si>
  <si>
    <t>ANCASH-HUARAZ</t>
  </si>
  <si>
    <t>021901</t>
  </si>
  <si>
    <t>SIHUAS</t>
  </si>
  <si>
    <t>021701</t>
  </si>
  <si>
    <t>RECUAY</t>
  </si>
  <si>
    <t>021601</t>
  </si>
  <si>
    <t>POMABAMBA</t>
  </si>
  <si>
    <t>021201</t>
  </si>
  <si>
    <t>CARAZ</t>
  </si>
  <si>
    <t>021001</t>
  </si>
  <si>
    <t>HUARI</t>
  </si>
  <si>
    <t>020101</t>
  </si>
  <si>
    <t>020701</t>
  </si>
  <si>
    <t>CARLOS FERMÍN FITZCARRAL</t>
  </si>
  <si>
    <t>020601</t>
  </si>
  <si>
    <t>020501</t>
  </si>
  <si>
    <t>CHIQUIAN</t>
  </si>
  <si>
    <t>021809</t>
  </si>
  <si>
    <t>NUEVO CHIMBOTE</t>
  </si>
  <si>
    <t>ANCASH-CHIMBOTE</t>
  </si>
  <si>
    <t>021801B</t>
  </si>
  <si>
    <t>CHIMBOTE</t>
  </si>
  <si>
    <t>021801A</t>
  </si>
  <si>
    <t>021508</t>
  </si>
  <si>
    <t>021101</t>
  </si>
  <si>
    <t>020801</t>
  </si>
  <si>
    <t>010701</t>
  </si>
  <si>
    <t>BAGUA GRANDE</t>
  </si>
  <si>
    <t>AMAZONAS</t>
  </si>
  <si>
    <t>060901B</t>
  </si>
  <si>
    <t>SAN IGNACIO</t>
  </si>
  <si>
    <t>060901A</t>
  </si>
  <si>
    <t>010601</t>
  </si>
  <si>
    <t>SAN NICOLAS</t>
  </si>
  <si>
    <t>010401</t>
  </si>
  <si>
    <t>CONDORCANQUI</t>
  </si>
  <si>
    <t>010501</t>
  </si>
  <si>
    <t>LAMUD</t>
  </si>
  <si>
    <t>060801B</t>
  </si>
  <si>
    <t>060801A</t>
  </si>
  <si>
    <t>010101</t>
  </si>
  <si>
    <t>010307</t>
  </si>
  <si>
    <t>JAZAN</t>
  </si>
  <si>
    <t>BONGARA</t>
  </si>
  <si>
    <t>010201</t>
  </si>
  <si>
    <t>UBIGEO _SED_PROV</t>
  </si>
  <si>
    <t>NOM_DIST</t>
  </si>
  <si>
    <t>CODDIST2</t>
  </si>
  <si>
    <t>NOMB_PRO</t>
  </si>
  <si>
    <t>CODPROV2</t>
  </si>
  <si>
    <t>NOMB_DEP</t>
  </si>
  <si>
    <t>CODDEP2</t>
  </si>
  <si>
    <t>CODSEDE_DIST</t>
  </si>
  <si>
    <t>SEDE JURISD</t>
  </si>
  <si>
    <t>CODSEDE_JURISD</t>
  </si>
  <si>
    <t>SEDE REG 2024</t>
  </si>
  <si>
    <t>CODSEDE_REG</t>
  </si>
  <si>
    <t>ODEI/OZEI</t>
  </si>
  <si>
    <t>LIMA - CALLAO y ODEIs</t>
  </si>
  <si>
    <t>SEDE REGIONAL</t>
  </si>
  <si>
    <t>SEDE JURISDICCIONAL</t>
  </si>
  <si>
    <t>DISTRITO DE UBICACION</t>
  </si>
  <si>
    <t>PRESELECCIÓN</t>
  </si>
  <si>
    <t>CAPACITAR</t>
  </si>
  <si>
    <t>TOTAL</t>
  </si>
  <si>
    <t>1.PRIMARIA</t>
  </si>
  <si>
    <t>2.SECUNDARIA</t>
  </si>
  <si>
    <t>CERRO COLORADO</t>
  </si>
  <si>
    <t>MOLLENDO</t>
  </si>
  <si>
    <t>JOSE LUIS BUSTAMANTE Y RIVERO</t>
  </si>
  <si>
    <t>NRO</t>
  </si>
  <si>
    <t>RESERVA (9%</t>
  </si>
  <si>
    <t>TOTAL (TITULARES + RESERVAS)</t>
  </si>
  <si>
    <t>TURNO 1</t>
  </si>
  <si>
    <t>TURNO 2</t>
  </si>
  <si>
    <t>LOCAL AMAZONAS BAGUA</t>
  </si>
  <si>
    <t>LOCAL AMAZONAS JAEN 1</t>
  </si>
  <si>
    <t>LOCAL LIMA MET 1 LURIN</t>
  </si>
  <si>
    <t>LOCAL PIURA PIURA 1</t>
  </si>
  <si>
    <t>LOCAL UCAYALI ATALAYA</t>
  </si>
  <si>
    <t>JEAN CARLOS</t>
  </si>
  <si>
    <t>VÁSQUEZ</t>
  </si>
  <si>
    <t>ALARCÓN</t>
  </si>
  <si>
    <t>ERIKA RUBI</t>
  </si>
  <si>
    <t>KAREN ESTEFANY</t>
  </si>
  <si>
    <t>JIMENA NICOLE</t>
  </si>
  <si>
    <t>MARIA ROSELY</t>
  </si>
  <si>
    <t>ANTUMIG</t>
  </si>
  <si>
    <t>60054476</t>
  </si>
  <si>
    <t>41997629</t>
  </si>
  <si>
    <t>42662955</t>
  </si>
  <si>
    <t>ROMY NATALY</t>
  </si>
  <si>
    <t>73478338</t>
  </si>
  <si>
    <t>41015864</t>
  </si>
  <si>
    <t>DAIVY JHON</t>
  </si>
  <si>
    <t>46817091</t>
  </si>
  <si>
    <t>ROSA ELIZABEL</t>
  </si>
  <si>
    <t>70889171</t>
  </si>
  <si>
    <t>YESICA ESTHER</t>
  </si>
  <si>
    <t>77530330</t>
  </si>
  <si>
    <t>RAFAEL DE BUQUES</t>
  </si>
  <si>
    <t>72955565</t>
  </si>
  <si>
    <t>ADITHA VALENTINA</t>
  </si>
  <si>
    <t>44177255</t>
  </si>
  <si>
    <t>HERLIESS</t>
  </si>
  <si>
    <t>76288597</t>
  </si>
  <si>
    <t>72790280</t>
  </si>
  <si>
    <t>WILLIAN ARMANDO</t>
  </si>
  <si>
    <t>76787048</t>
  </si>
  <si>
    <t>74351617</t>
  </si>
  <si>
    <t>LUCY ELITA</t>
  </si>
  <si>
    <t>48253988</t>
  </si>
  <si>
    <t>72365507</t>
  </si>
  <si>
    <t>BRIDGET JHOSELIN</t>
  </si>
  <si>
    <t>70779838</t>
  </si>
  <si>
    <t>PIERRE ARNOLD</t>
  </si>
  <si>
    <t>70547548</t>
  </si>
  <si>
    <t>77461050</t>
  </si>
  <si>
    <t>GALILEO</t>
  </si>
  <si>
    <t>76156572</t>
  </si>
  <si>
    <t>76556799</t>
  </si>
  <si>
    <t>48249420</t>
  </si>
  <si>
    <t>GEYNER JESUS</t>
  </si>
  <si>
    <t>47683764</t>
  </si>
  <si>
    <t>MAIKEN MELISSA</t>
  </si>
  <si>
    <t>70150159</t>
  </si>
  <si>
    <t>ROSI RAQUEL</t>
  </si>
  <si>
    <t>74494932</t>
  </si>
  <si>
    <t>73775979</t>
  </si>
  <si>
    <t>HELEN KATERINNE</t>
  </si>
  <si>
    <t>70547598</t>
  </si>
  <si>
    <t>72671841</t>
  </si>
  <si>
    <t>70932665</t>
  </si>
  <si>
    <t>MIRIAM JENNIFER</t>
  </si>
  <si>
    <t>sede_regional</t>
  </si>
  <si>
    <t>LIMA METROPOLITANA</t>
  </si>
  <si>
    <t>AMAZONAS 1</t>
  </si>
  <si>
    <t>AMAZONAS 2</t>
  </si>
  <si>
    <t>AMAZONAS 3</t>
  </si>
  <si>
    <t>AMAZONAS 4</t>
  </si>
  <si>
    <t>AMAZONAS 5</t>
  </si>
  <si>
    <t>AMAZONAS 6</t>
  </si>
  <si>
    <t>AMAZONAS 7</t>
  </si>
  <si>
    <t>AMAZONAS 8</t>
  </si>
  <si>
    <t>LORETO 1</t>
  </si>
  <si>
    <t>LORETO 2</t>
  </si>
  <si>
    <t>LORETO 3</t>
  </si>
  <si>
    <t>LORETO 4</t>
  </si>
  <si>
    <t>LORETO 5</t>
  </si>
  <si>
    <t>LORETO 6</t>
  </si>
  <si>
    <t>LIMA METROPOLITANA 1</t>
  </si>
  <si>
    <t>LIMA METROPOLITANA 2</t>
  </si>
  <si>
    <t>LIMA METROPOLITANA 3</t>
  </si>
  <si>
    <t>LIMA METROPOLITANA 4</t>
  </si>
  <si>
    <t>LIMA METROPOLITANA 5</t>
  </si>
  <si>
    <t>UCAYALI 1</t>
  </si>
  <si>
    <t>UCAYALI 2</t>
  </si>
  <si>
    <t>UCAYALI 3</t>
  </si>
  <si>
    <t>UCAYALI 4</t>
  </si>
  <si>
    <t>MADRE DE DIOS 1</t>
  </si>
  <si>
    <t>MADRE DE DIOS 2</t>
  </si>
  <si>
    <t>MADRE DE DIOS 3</t>
  </si>
  <si>
    <t>MADRE DE DIOS 4</t>
  </si>
  <si>
    <t>MADRE DE DIOS 5</t>
  </si>
  <si>
    <t>MADRE DE DIOS 6</t>
  </si>
  <si>
    <t>PIURA 5</t>
  </si>
  <si>
    <t>TITULAR</t>
  </si>
  <si>
    <t>RESERVA</t>
  </si>
  <si>
    <t>CARGO</t>
  </si>
  <si>
    <t>TECNICO ADMINISTRATIVO PROVINCIAL</t>
  </si>
  <si>
    <t>MONITOR NACIONAL</t>
  </si>
  <si>
    <t>SUPERVISOR NACIONAL</t>
  </si>
  <si>
    <t>COORDINADOR REGIONAL</t>
  </si>
  <si>
    <t>COORDINADOR ADMINISTRATIVO REGIONAL</t>
  </si>
  <si>
    <t>DNI</t>
  </si>
  <si>
    <t>numero_doc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</si>
</sst>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7"/>
      <color rgb="FF002084"/>
      <name val="Verdana"/>
      <family val="2"/>
    </font>
    <font>
      <sz val="7"/>
      <color rgb="FF002084"/>
      <name val="Verdana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C1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0" fillId="0" borderId="0" xfId="0" applyNumberFormat="1"/>
    <xf numFmtId="0" fontId="0" fillId="6" borderId="0" xfId="0" applyFill="1"/>
    <xf numFmtId="0" fontId="3" fillId="7" borderId="15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23FE7624-1646-482E-B8D1-0BA613EC37E2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C8CACA"/>
        </left>
        <right style="medium">
          <color rgb="FFC8CACA"/>
        </right>
        <bottom style="medium">
          <color rgb="FFC8CAC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2084"/>
        <name val="Verdana"/>
        <family val="2"/>
        <scheme val="none"/>
      </font>
      <fill>
        <patternFill patternType="solid">
          <fgColor indexed="64"/>
          <bgColor rgb="FF84C1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lertorah/Desktop/Claudia%20L&#233;rtora/RESULTADOS%20EVALUACION%20CURRICULAR/APA/Copia%20de%20RANKING%20EVALUACION%20CURRICULAR%20-%20APA%20-%20ENLA%202024%20V4.0%20(20240906).xlsx" TargetMode="External"/><Relationship Id="rId1" Type="http://schemas.openxmlformats.org/officeDocument/2006/relationships/externalLinkPath" Target="/Users/mlertorah/Desktop/Claudia%20L&#233;rtora/RESULTADOS%20EVALUACION%20CURRICULAR/APA/Copia%20de%20RANKING%20EVALUACION%20CURRICULAR%20-%20APA%20-%20ENLA%202024%20V4.0%20(20240906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garay/AppData/Local/Microsoft/Windows/INetCache/IE/K1HM7U5F/Modulado_Aplicador_FINAL_-_Prueba_de_Preseleccion_v1.0%5b1%5d.xlsx" TargetMode="External"/><Relationship Id="rId2" Type="http://schemas.openxmlformats.org/officeDocument/2006/relationships/externalLinkPath" Target="file:///C:\Users\agaray\AppData\Local\Microsoft\Windows\INetCache\IE\K1HM7U5F\Modulado_Aplicador_FINAL_-_Prueba_de_Preseleccion_v1.0%5b1%5d.xlsx" TargetMode="External"/><Relationship Id="rId1" Type="http://schemas.openxmlformats.org/officeDocument/2006/relationships/externalLinkPath" Target="/Users/agaray/AppData/Local/Microsoft/Windows/INetCache/IE/K1HM7U5F/Modulado_Aplicador_FINAL_-_Prueba_de_Preseleccion_v1.0%5b1%5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villegas/AppData/Roaming/Microsoft/Excel/REPORTE_DE_EVALUACION_CV%20APLI9CADOR%20EIB%20L1%20Y%20L2%20(LENGUA%20ORIGINARIA)%20finish%20(version%201).xlsb" TargetMode="External"/><Relationship Id="rId1" Type="http://schemas.openxmlformats.org/officeDocument/2006/relationships/externalLinkPath" Target="/Users/lvillegas/AppData/Roaming/Microsoft/Excel/REPORTE_DE_EVALUACION_CV%20APLI9CADOR%20EIB%20L1%20Y%20L2%20(LENGUA%20ORIGINARIA)%20finish%20(version%201)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do%20San/Downloads/RA%20CONTRATAR%20ENLA%202023_2703_(formulas)%20(03042023).xlsx" TargetMode="External"/><Relationship Id="rId1" Type="http://schemas.openxmlformats.org/officeDocument/2006/relationships/externalLinkPath" Target="/Users/Edo%20San/Downloads/RA%20CONTRATAR%20ENLA%202023_2703_(formulas)%20(03042023)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garay/Desktop/APK%20APA/Modulado%20APK%20APA%20%20v1.3%2010092024%20-%20V1.3%20(OTIN).XLSX" TargetMode="External"/><Relationship Id="rId2" Type="http://schemas.openxmlformats.org/officeDocument/2006/relationships/externalLinkPath" Target="file:///C:\Users\agaray\Desktop\APK%20APA\Modulado%20APK%20APA%20%20v1.3%2010092024%20-%20V1.3%20(OTIN).XLSX" TargetMode="External"/><Relationship Id="rId1" Type="http://schemas.openxmlformats.org/officeDocument/2006/relationships/externalLinkPath" Target="/Users/agaray/Desktop/APK%20APA/Modulado%20APK%20APA%20%20v1.3%2010092024%20-%20V1.3%20(OTIN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IMONIUMC11/Downloads/RA_(disminucion%20de%20aplicadores%202S)/RA_ENLA2024_01042024_(formulas)_1630%20(para%20INEI).xlsx" TargetMode="External"/><Relationship Id="rId1" Type="http://schemas.openxmlformats.org/officeDocument/2006/relationships/externalLinkPath" Target="/Users/PLANIMONIUMC11/Downloads/RA_(disminucion%20de%20aplicadores%202S)/RA_ENLA2024_01042024_(formulas)_1630%20(para%20INE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4"/>
      <sheetName val="Hoja1"/>
      <sheetName val="RANKING CV - APA"/>
      <sheetName val="RESUMEN"/>
    </sheetNames>
    <sheetDataSet>
      <sheetData sheetId="0" refreshError="1"/>
      <sheetData sheetId="1" refreshError="1"/>
      <sheetData sheetId="2" refreshError="1"/>
      <sheetData sheetId="3">
        <row r="5">
          <cell r="C5" t="str">
            <v>BAGUA</v>
          </cell>
          <cell r="D5">
            <v>9</v>
          </cell>
          <cell r="E5">
            <v>24</v>
          </cell>
          <cell r="F5">
            <v>11</v>
          </cell>
          <cell r="G5">
            <v>7</v>
          </cell>
          <cell r="H5">
            <v>9</v>
          </cell>
          <cell r="I5">
            <v>1.2857142857142858</v>
          </cell>
          <cell r="J5">
            <v>1</v>
          </cell>
        </row>
        <row r="6">
          <cell r="C6" t="str">
            <v>BONGARA (Jazán)</v>
          </cell>
          <cell r="D6">
            <v>6</v>
          </cell>
          <cell r="E6">
            <v>2</v>
          </cell>
          <cell r="F6">
            <v>5</v>
          </cell>
          <cell r="G6">
            <v>4</v>
          </cell>
          <cell r="H6">
            <v>6</v>
          </cell>
          <cell r="I6">
            <v>1.5</v>
          </cell>
          <cell r="J6">
            <v>1</v>
          </cell>
        </row>
        <row r="7">
          <cell r="C7" t="str">
            <v>CHACHAPOYAS</v>
          </cell>
          <cell r="D7">
            <v>8</v>
          </cell>
          <cell r="E7">
            <v>16</v>
          </cell>
          <cell r="F7">
            <v>16</v>
          </cell>
          <cell r="G7">
            <v>6</v>
          </cell>
          <cell r="H7">
            <v>8</v>
          </cell>
          <cell r="I7">
            <v>1.3333333333333333</v>
          </cell>
          <cell r="J7">
            <v>1</v>
          </cell>
        </row>
        <row r="8">
          <cell r="C8" t="str">
            <v>JAEN 1</v>
          </cell>
          <cell r="D8">
            <v>13</v>
          </cell>
          <cell r="E8">
            <v>19</v>
          </cell>
          <cell r="F8">
            <v>13</v>
          </cell>
          <cell r="G8">
            <v>10</v>
          </cell>
          <cell r="H8">
            <v>13</v>
          </cell>
          <cell r="I8">
            <v>1.3</v>
          </cell>
          <cell r="J8">
            <v>1</v>
          </cell>
        </row>
        <row r="9">
          <cell r="C9" t="str">
            <v>JAEN 2</v>
          </cell>
          <cell r="D9">
            <v>15</v>
          </cell>
          <cell r="E9">
            <v>45</v>
          </cell>
          <cell r="F9">
            <v>4</v>
          </cell>
          <cell r="G9">
            <v>11</v>
          </cell>
          <cell r="H9">
            <v>15</v>
          </cell>
          <cell r="I9">
            <v>1.3636363636363635</v>
          </cell>
          <cell r="J9">
            <v>1</v>
          </cell>
        </row>
        <row r="10">
          <cell r="C10" t="str">
            <v>LUYA</v>
          </cell>
          <cell r="D10">
            <v>11</v>
          </cell>
          <cell r="E10">
            <v>20</v>
          </cell>
          <cell r="F10">
            <v>8</v>
          </cell>
          <cell r="G10">
            <v>8</v>
          </cell>
          <cell r="H10">
            <v>11</v>
          </cell>
          <cell r="I10">
            <v>1.375</v>
          </cell>
          <cell r="J10">
            <v>1</v>
          </cell>
        </row>
        <row r="11">
          <cell r="C11" t="str">
            <v>NIEVA CONDORCANQUI</v>
          </cell>
          <cell r="D11">
            <v>3</v>
          </cell>
          <cell r="E11">
            <v>9</v>
          </cell>
          <cell r="F11">
            <v>6</v>
          </cell>
          <cell r="G11">
            <v>2</v>
          </cell>
          <cell r="H11">
            <v>3</v>
          </cell>
          <cell r="I11">
            <v>1.5</v>
          </cell>
          <cell r="J11">
            <v>1</v>
          </cell>
        </row>
        <row r="12">
          <cell r="C12" t="str">
            <v>RODRIGUEZ DE MENDOZA</v>
          </cell>
          <cell r="D12">
            <v>8</v>
          </cell>
          <cell r="E12">
            <v>10</v>
          </cell>
          <cell r="F12">
            <v>3</v>
          </cell>
          <cell r="G12">
            <v>6</v>
          </cell>
          <cell r="H12">
            <v>8</v>
          </cell>
          <cell r="I12">
            <v>1.3333333333333333</v>
          </cell>
          <cell r="J12">
            <v>1</v>
          </cell>
        </row>
        <row r="13">
          <cell r="C13" t="str">
            <v>SAN IGNACIO 1</v>
          </cell>
          <cell r="D13">
            <v>13</v>
          </cell>
          <cell r="E13">
            <v>11</v>
          </cell>
          <cell r="F13">
            <v>14</v>
          </cell>
          <cell r="G13">
            <v>10</v>
          </cell>
          <cell r="H13">
            <v>13</v>
          </cell>
          <cell r="I13">
            <v>1.3</v>
          </cell>
          <cell r="J13">
            <v>1</v>
          </cell>
        </row>
        <row r="14">
          <cell r="C14" t="str">
            <v>SAN IGNACIO 2</v>
          </cell>
          <cell r="D14">
            <v>13</v>
          </cell>
          <cell r="E14">
            <v>9</v>
          </cell>
          <cell r="F14">
            <v>4</v>
          </cell>
          <cell r="G14">
            <v>10</v>
          </cell>
          <cell r="H14">
            <v>13</v>
          </cell>
          <cell r="I14">
            <v>1.3</v>
          </cell>
          <cell r="J14">
            <v>1</v>
          </cell>
        </row>
        <row r="15">
          <cell r="C15" t="str">
            <v>UTCUBAMBA</v>
          </cell>
          <cell r="D15">
            <v>20</v>
          </cell>
          <cell r="E15">
            <v>28</v>
          </cell>
          <cell r="F15">
            <v>23</v>
          </cell>
          <cell r="G15">
            <v>16</v>
          </cell>
          <cell r="H15">
            <v>20</v>
          </cell>
          <cell r="I15">
            <v>1.25</v>
          </cell>
          <cell r="J15">
            <v>1</v>
          </cell>
        </row>
        <row r="16">
          <cell r="C16" t="str">
            <v>CASMA</v>
          </cell>
          <cell r="D16">
            <v>7</v>
          </cell>
          <cell r="E16">
            <v>2</v>
          </cell>
          <cell r="F16">
            <v>5</v>
          </cell>
          <cell r="G16">
            <v>5</v>
          </cell>
          <cell r="H16">
            <v>7</v>
          </cell>
          <cell r="I16">
            <v>1.4</v>
          </cell>
          <cell r="J16">
            <v>1</v>
          </cell>
        </row>
        <row r="17">
          <cell r="C17" t="str">
            <v>HUARMEY</v>
          </cell>
          <cell r="D17">
            <v>4</v>
          </cell>
          <cell r="E17">
            <v>3</v>
          </cell>
          <cell r="F17">
            <v>4</v>
          </cell>
          <cell r="G17">
            <v>3</v>
          </cell>
          <cell r="H17">
            <v>4</v>
          </cell>
          <cell r="I17">
            <v>1.3333333333333333</v>
          </cell>
          <cell r="J17">
            <v>1</v>
          </cell>
        </row>
        <row r="18">
          <cell r="C18" t="str">
            <v>PALLASCA</v>
          </cell>
          <cell r="D18">
            <v>3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3</v>
          </cell>
          <cell r="J18">
            <v>1</v>
          </cell>
        </row>
        <row r="19">
          <cell r="C19" t="str">
            <v>SANTA 1</v>
          </cell>
          <cell r="D19">
            <v>18</v>
          </cell>
          <cell r="E19">
            <v>23</v>
          </cell>
          <cell r="F19">
            <v>16</v>
          </cell>
          <cell r="G19">
            <v>14</v>
          </cell>
          <cell r="H19">
            <v>18</v>
          </cell>
          <cell r="I19">
            <v>1.2857142857142858</v>
          </cell>
          <cell r="J19">
            <v>1</v>
          </cell>
        </row>
        <row r="20">
          <cell r="C20" t="str">
            <v>SANTA 2</v>
          </cell>
          <cell r="D20">
            <v>18</v>
          </cell>
          <cell r="E20">
            <v>9</v>
          </cell>
          <cell r="F20">
            <v>14</v>
          </cell>
          <cell r="G20">
            <v>14</v>
          </cell>
          <cell r="H20">
            <v>18</v>
          </cell>
          <cell r="I20">
            <v>1.2857142857142858</v>
          </cell>
          <cell r="J20">
            <v>1</v>
          </cell>
        </row>
        <row r="21">
          <cell r="C21" t="str">
            <v>SANTA 3</v>
          </cell>
          <cell r="D21">
            <v>16</v>
          </cell>
          <cell r="E21">
            <v>9</v>
          </cell>
          <cell r="F21">
            <v>13</v>
          </cell>
          <cell r="G21">
            <v>12</v>
          </cell>
          <cell r="H21">
            <v>16</v>
          </cell>
          <cell r="I21">
            <v>1.3333333333333333</v>
          </cell>
          <cell r="J21">
            <v>1</v>
          </cell>
        </row>
        <row r="22">
          <cell r="C22" t="str">
            <v>BOLOGNESI</v>
          </cell>
          <cell r="D22">
            <v>3</v>
          </cell>
          <cell r="E22">
            <v>3</v>
          </cell>
          <cell r="F22">
            <v>4</v>
          </cell>
          <cell r="G22">
            <v>2</v>
          </cell>
          <cell r="H22">
            <v>3</v>
          </cell>
          <cell r="I22">
            <v>1.5</v>
          </cell>
          <cell r="J22">
            <v>1</v>
          </cell>
        </row>
        <row r="23">
          <cell r="C23" t="str">
            <v>CARHUAZ</v>
          </cell>
          <cell r="D23">
            <v>4</v>
          </cell>
          <cell r="E23">
            <v>8</v>
          </cell>
          <cell r="F23">
            <v>5</v>
          </cell>
          <cell r="G23">
            <v>3</v>
          </cell>
          <cell r="H23">
            <v>4</v>
          </cell>
          <cell r="I23">
            <v>1.3333333333333333</v>
          </cell>
          <cell r="J23">
            <v>1</v>
          </cell>
        </row>
        <row r="24">
          <cell r="C24" t="str">
            <v>CARLOS FERMIN FITZCARRALD-ASUNCION</v>
          </cell>
          <cell r="D24">
            <v>3</v>
          </cell>
          <cell r="E24">
            <v>5</v>
          </cell>
          <cell r="F24">
            <v>2</v>
          </cell>
          <cell r="G24">
            <v>2</v>
          </cell>
          <cell r="H24">
            <v>3</v>
          </cell>
          <cell r="I24">
            <v>1.5</v>
          </cell>
          <cell r="J24">
            <v>1</v>
          </cell>
        </row>
        <row r="25">
          <cell r="C25" t="str">
            <v>HUARAZ</v>
          </cell>
          <cell r="D25">
            <v>16</v>
          </cell>
          <cell r="E25">
            <v>53</v>
          </cell>
          <cell r="F25">
            <v>58</v>
          </cell>
          <cell r="G25">
            <v>12</v>
          </cell>
          <cell r="H25">
            <v>16</v>
          </cell>
          <cell r="I25">
            <v>1.3333333333333333</v>
          </cell>
          <cell r="J25">
            <v>1</v>
          </cell>
        </row>
        <row r="26">
          <cell r="C26" t="str">
            <v>HUARI-ANTONIO RAIMONDI</v>
          </cell>
          <cell r="D26">
            <v>6</v>
          </cell>
          <cell r="E26">
            <v>13</v>
          </cell>
          <cell r="F26">
            <v>3</v>
          </cell>
          <cell r="G26">
            <v>4</v>
          </cell>
          <cell r="H26">
            <v>6</v>
          </cell>
          <cell r="I26">
            <v>1.5</v>
          </cell>
          <cell r="J26">
            <v>1</v>
          </cell>
        </row>
        <row r="27">
          <cell r="C27" t="str">
            <v>HUAYLAS</v>
          </cell>
          <cell r="D27">
            <v>6</v>
          </cell>
          <cell r="E27">
            <v>6</v>
          </cell>
          <cell r="F27">
            <v>1</v>
          </cell>
          <cell r="G27">
            <v>4</v>
          </cell>
          <cell r="H27">
            <v>6</v>
          </cell>
          <cell r="I27">
            <v>1.5</v>
          </cell>
          <cell r="J27">
            <v>1</v>
          </cell>
        </row>
        <row r="28">
          <cell r="C28" t="str">
            <v>POMABAMBA-MARISCAL LUZURIAGA</v>
          </cell>
          <cell r="D28">
            <v>3</v>
          </cell>
          <cell r="E28">
            <v>3</v>
          </cell>
          <cell r="F28">
            <v>4</v>
          </cell>
          <cell r="G28">
            <v>2</v>
          </cell>
          <cell r="H28">
            <v>3</v>
          </cell>
          <cell r="I28">
            <v>1.5</v>
          </cell>
          <cell r="J28">
            <v>1</v>
          </cell>
        </row>
        <row r="29">
          <cell r="C29" t="str">
            <v>RECUAY-AIJA</v>
          </cell>
          <cell r="D29">
            <v>3</v>
          </cell>
          <cell r="E29">
            <v>4</v>
          </cell>
          <cell r="F29">
            <v>2</v>
          </cell>
          <cell r="G29">
            <v>2</v>
          </cell>
          <cell r="H29">
            <v>3</v>
          </cell>
          <cell r="I29">
            <v>1.5</v>
          </cell>
          <cell r="J29">
            <v>1</v>
          </cell>
        </row>
        <row r="30">
          <cell r="C30" t="str">
            <v>SIHUAS-CORONGO</v>
          </cell>
          <cell r="D30">
            <v>6</v>
          </cell>
          <cell r="E30">
            <v>10</v>
          </cell>
          <cell r="F30">
            <v>5</v>
          </cell>
          <cell r="G30">
            <v>4</v>
          </cell>
          <cell r="H30">
            <v>6</v>
          </cell>
          <cell r="I30">
            <v>1.5</v>
          </cell>
          <cell r="J30">
            <v>1</v>
          </cell>
        </row>
        <row r="31">
          <cell r="C31" t="str">
            <v>YUNGAY</v>
          </cell>
          <cell r="D31">
            <v>4</v>
          </cell>
          <cell r="E31">
            <v>5</v>
          </cell>
          <cell r="F31">
            <v>3</v>
          </cell>
          <cell r="G31">
            <v>3</v>
          </cell>
          <cell r="H31">
            <v>4</v>
          </cell>
          <cell r="I31">
            <v>1.3333333333333333</v>
          </cell>
          <cell r="J31">
            <v>1</v>
          </cell>
        </row>
        <row r="32">
          <cell r="C32" t="str">
            <v>ABANCAY-ANTABAMBA</v>
          </cell>
          <cell r="D32">
            <v>16</v>
          </cell>
          <cell r="E32">
            <v>28</v>
          </cell>
          <cell r="F32">
            <v>14</v>
          </cell>
          <cell r="G32">
            <v>12</v>
          </cell>
          <cell r="H32">
            <v>16</v>
          </cell>
          <cell r="I32">
            <v>1.3333333333333333</v>
          </cell>
          <cell r="J32">
            <v>1</v>
          </cell>
        </row>
        <row r="33">
          <cell r="C33" t="str">
            <v>ANDAHUAYLAS</v>
          </cell>
          <cell r="D33">
            <v>12</v>
          </cell>
          <cell r="E33">
            <v>30</v>
          </cell>
          <cell r="F33">
            <v>7</v>
          </cell>
          <cell r="G33">
            <v>9</v>
          </cell>
          <cell r="H33">
            <v>12</v>
          </cell>
          <cell r="I33">
            <v>1.3333333333333333</v>
          </cell>
          <cell r="J33">
            <v>1</v>
          </cell>
        </row>
        <row r="34">
          <cell r="C34" t="str">
            <v>AYMARAES</v>
          </cell>
          <cell r="D34">
            <v>4</v>
          </cell>
          <cell r="E34">
            <v>6</v>
          </cell>
          <cell r="F34">
            <v>5</v>
          </cell>
          <cell r="G34">
            <v>3</v>
          </cell>
          <cell r="H34">
            <v>4</v>
          </cell>
          <cell r="I34">
            <v>1.3333333333333333</v>
          </cell>
          <cell r="J34">
            <v>1</v>
          </cell>
        </row>
        <row r="35">
          <cell r="C35" t="str">
            <v>CHINCHEROS</v>
          </cell>
          <cell r="D35">
            <v>7</v>
          </cell>
          <cell r="E35">
            <v>9</v>
          </cell>
          <cell r="F35">
            <v>8</v>
          </cell>
          <cell r="G35">
            <v>5</v>
          </cell>
          <cell r="H35">
            <v>7</v>
          </cell>
          <cell r="I35">
            <v>1.4</v>
          </cell>
          <cell r="J35">
            <v>1</v>
          </cell>
        </row>
        <row r="36">
          <cell r="C36" t="str">
            <v>COTABAMBAS</v>
          </cell>
          <cell r="D36">
            <v>6</v>
          </cell>
          <cell r="E36">
            <v>4</v>
          </cell>
          <cell r="F36">
            <v>3</v>
          </cell>
          <cell r="G36">
            <v>4</v>
          </cell>
          <cell r="H36">
            <v>6</v>
          </cell>
          <cell r="I36">
            <v>1.5</v>
          </cell>
          <cell r="J36">
            <v>1</v>
          </cell>
        </row>
        <row r="37">
          <cell r="C37" t="str">
            <v>GRAU</v>
          </cell>
          <cell r="D37">
            <v>3</v>
          </cell>
          <cell r="E37">
            <v>2</v>
          </cell>
          <cell r="F37">
            <v>4</v>
          </cell>
          <cell r="G37">
            <v>2</v>
          </cell>
          <cell r="H37">
            <v>3</v>
          </cell>
          <cell r="I37">
            <v>1.5</v>
          </cell>
          <cell r="J37">
            <v>1</v>
          </cell>
        </row>
        <row r="38">
          <cell r="C38" t="str">
            <v>AREQUIPA</v>
          </cell>
          <cell r="D38">
            <v>11</v>
          </cell>
          <cell r="E38">
            <v>11</v>
          </cell>
          <cell r="F38">
            <v>8</v>
          </cell>
          <cell r="G38">
            <v>8</v>
          </cell>
          <cell r="H38">
            <v>11</v>
          </cell>
          <cell r="I38">
            <v>1.375</v>
          </cell>
          <cell r="J38">
            <v>1</v>
          </cell>
        </row>
        <row r="39">
          <cell r="C39" t="str">
            <v>CAMANA</v>
          </cell>
          <cell r="D39">
            <v>8</v>
          </cell>
          <cell r="E39">
            <v>2</v>
          </cell>
          <cell r="F39">
            <v>3</v>
          </cell>
          <cell r="G39">
            <v>6</v>
          </cell>
          <cell r="H39">
            <v>8</v>
          </cell>
          <cell r="I39">
            <v>1.3333333333333333</v>
          </cell>
          <cell r="J39">
            <v>1</v>
          </cell>
        </row>
        <row r="40">
          <cell r="C40" t="str">
            <v>CARAVELI (Chala)</v>
          </cell>
          <cell r="D40">
            <v>6</v>
          </cell>
          <cell r="F40">
            <v>4</v>
          </cell>
          <cell r="G40">
            <v>4</v>
          </cell>
          <cell r="H40">
            <v>6</v>
          </cell>
          <cell r="I40">
            <v>1.5</v>
          </cell>
          <cell r="J40">
            <v>1</v>
          </cell>
        </row>
        <row r="41">
          <cell r="C41" t="str">
            <v>CASTILLA-LA UNION-CONDESUYOS</v>
          </cell>
          <cell r="D41">
            <v>7</v>
          </cell>
          <cell r="E41">
            <v>3</v>
          </cell>
          <cell r="F41">
            <v>4</v>
          </cell>
          <cell r="G41">
            <v>5</v>
          </cell>
          <cell r="H41">
            <v>7</v>
          </cell>
          <cell r="I41">
            <v>1.4</v>
          </cell>
          <cell r="J41">
            <v>1</v>
          </cell>
        </row>
        <row r="42">
          <cell r="C42" t="str">
            <v>CAYLLOMA</v>
          </cell>
          <cell r="D42">
            <v>3</v>
          </cell>
          <cell r="E42">
            <v>2</v>
          </cell>
          <cell r="F42">
            <v>3</v>
          </cell>
          <cell r="G42">
            <v>2</v>
          </cell>
          <cell r="H42">
            <v>3</v>
          </cell>
          <cell r="I42">
            <v>1.5</v>
          </cell>
          <cell r="J42">
            <v>1</v>
          </cell>
        </row>
        <row r="43">
          <cell r="C43" t="str">
            <v>CERRO COLORADO 1-CAYMA</v>
          </cell>
          <cell r="D43">
            <v>15</v>
          </cell>
          <cell r="E43">
            <v>34</v>
          </cell>
          <cell r="F43">
            <v>14</v>
          </cell>
          <cell r="G43">
            <v>11</v>
          </cell>
          <cell r="H43">
            <v>15</v>
          </cell>
          <cell r="I43">
            <v>1.3636363636363635</v>
          </cell>
          <cell r="J43">
            <v>1</v>
          </cell>
        </row>
        <row r="44">
          <cell r="C44" t="str">
            <v>CERRO COLORADO 2-YURA</v>
          </cell>
          <cell r="D44">
            <v>12</v>
          </cell>
          <cell r="E44">
            <v>10</v>
          </cell>
          <cell r="F44">
            <v>6</v>
          </cell>
          <cell r="G44">
            <v>9</v>
          </cell>
          <cell r="H44">
            <v>12</v>
          </cell>
          <cell r="I44">
            <v>1.3333333333333333</v>
          </cell>
          <cell r="J44">
            <v>1</v>
          </cell>
        </row>
        <row r="45">
          <cell r="C45" t="str">
            <v>ISLAY</v>
          </cell>
          <cell r="D45">
            <v>6</v>
          </cell>
          <cell r="F45">
            <v>4</v>
          </cell>
          <cell r="G45">
            <v>4</v>
          </cell>
          <cell r="H45">
            <v>6</v>
          </cell>
          <cell r="I45">
            <v>1.5</v>
          </cell>
          <cell r="J45">
            <v>1</v>
          </cell>
        </row>
        <row r="46">
          <cell r="C46" t="str">
            <v>SACHACA-TIABAYA</v>
          </cell>
          <cell r="D46">
            <v>7</v>
          </cell>
          <cell r="E46">
            <v>7</v>
          </cell>
          <cell r="F46">
            <v>5</v>
          </cell>
          <cell r="G46">
            <v>5</v>
          </cell>
          <cell r="H46">
            <v>7</v>
          </cell>
          <cell r="I46">
            <v>1.4</v>
          </cell>
          <cell r="J46">
            <v>1</v>
          </cell>
        </row>
        <row r="47">
          <cell r="C47" t="str">
            <v>ALTO SELVA ALEGRE</v>
          </cell>
          <cell r="D47">
            <v>9</v>
          </cell>
          <cell r="E47">
            <v>5</v>
          </cell>
          <cell r="F47">
            <v>6</v>
          </cell>
          <cell r="G47">
            <v>7</v>
          </cell>
          <cell r="H47">
            <v>9</v>
          </cell>
          <cell r="I47">
            <v>1.2857142857142858</v>
          </cell>
          <cell r="J47">
            <v>1</v>
          </cell>
        </row>
        <row r="48">
          <cell r="C48" t="str">
            <v>JACOBO HUNTER</v>
          </cell>
          <cell r="D48">
            <v>8</v>
          </cell>
          <cell r="E48">
            <v>9</v>
          </cell>
          <cell r="F48">
            <v>9</v>
          </cell>
          <cell r="G48">
            <v>6</v>
          </cell>
          <cell r="H48">
            <v>8</v>
          </cell>
          <cell r="I48">
            <v>1.3333333333333333</v>
          </cell>
          <cell r="J48">
            <v>1</v>
          </cell>
        </row>
        <row r="49">
          <cell r="C49" t="str">
            <v>LA JOYA</v>
          </cell>
          <cell r="D49">
            <v>6</v>
          </cell>
          <cell r="E49">
            <v>4</v>
          </cell>
          <cell r="F49">
            <v>2</v>
          </cell>
          <cell r="G49">
            <v>4</v>
          </cell>
          <cell r="H49">
            <v>6</v>
          </cell>
          <cell r="I49">
            <v>1.5</v>
          </cell>
          <cell r="J49">
            <v>1</v>
          </cell>
        </row>
        <row r="50">
          <cell r="C50" t="str">
            <v>MAJES</v>
          </cell>
          <cell r="D50">
            <v>9</v>
          </cell>
          <cell r="E50">
            <v>20</v>
          </cell>
          <cell r="F50">
            <v>9</v>
          </cell>
          <cell r="G50">
            <v>7</v>
          </cell>
          <cell r="H50">
            <v>9</v>
          </cell>
          <cell r="I50">
            <v>1.2857142857142858</v>
          </cell>
          <cell r="J50">
            <v>1</v>
          </cell>
        </row>
        <row r="51">
          <cell r="C51" t="str">
            <v>MARIANO MELGAR-MIRAFLORES</v>
          </cell>
          <cell r="D51">
            <v>12</v>
          </cell>
          <cell r="E51">
            <v>22</v>
          </cell>
          <cell r="F51">
            <v>14</v>
          </cell>
          <cell r="G51">
            <v>9</v>
          </cell>
          <cell r="H51">
            <v>12</v>
          </cell>
          <cell r="I51">
            <v>1.3333333333333333</v>
          </cell>
          <cell r="J51">
            <v>1</v>
          </cell>
        </row>
        <row r="52">
          <cell r="C52" t="str">
            <v>PAUCARPATA</v>
          </cell>
          <cell r="D52">
            <v>13</v>
          </cell>
          <cell r="E52">
            <v>13</v>
          </cell>
          <cell r="F52">
            <v>18</v>
          </cell>
          <cell r="G52">
            <v>10</v>
          </cell>
          <cell r="H52">
            <v>13</v>
          </cell>
          <cell r="I52">
            <v>1.3</v>
          </cell>
          <cell r="J52">
            <v>1</v>
          </cell>
        </row>
        <row r="53">
          <cell r="C53" t="str">
            <v>SOCABAYA-JOSE LUIS BUSTAMANTE Y RIVERO</v>
          </cell>
          <cell r="D53">
            <v>12</v>
          </cell>
          <cell r="E53">
            <v>27</v>
          </cell>
          <cell r="F53">
            <v>30</v>
          </cell>
          <cell r="G53">
            <v>9</v>
          </cell>
          <cell r="H53">
            <v>12</v>
          </cell>
          <cell r="I53">
            <v>1.3333333333333333</v>
          </cell>
          <cell r="J53">
            <v>1</v>
          </cell>
        </row>
        <row r="54">
          <cell r="C54" t="str">
            <v>CANGALLO-VILCAS HUAMAN</v>
          </cell>
          <cell r="D54">
            <v>4</v>
          </cell>
          <cell r="E54">
            <v>9</v>
          </cell>
          <cell r="F54">
            <v>3</v>
          </cell>
          <cell r="G54">
            <v>3</v>
          </cell>
          <cell r="H54">
            <v>4</v>
          </cell>
          <cell r="I54">
            <v>1.3333333333333333</v>
          </cell>
          <cell r="J54">
            <v>1</v>
          </cell>
        </row>
        <row r="55">
          <cell r="C55" t="str">
            <v>HUAMANGA 1</v>
          </cell>
          <cell r="D55">
            <v>18</v>
          </cell>
          <cell r="E55">
            <v>69</v>
          </cell>
          <cell r="F55">
            <v>52</v>
          </cell>
          <cell r="G55">
            <v>14</v>
          </cell>
          <cell r="H55">
            <v>18</v>
          </cell>
          <cell r="I55">
            <v>1.2857142857142858</v>
          </cell>
          <cell r="J55">
            <v>1</v>
          </cell>
        </row>
        <row r="56">
          <cell r="C56" t="str">
            <v>HUAMANGA 2-HUANCASANCOS</v>
          </cell>
          <cell r="D56">
            <v>12</v>
          </cell>
          <cell r="E56">
            <v>33</v>
          </cell>
          <cell r="F56">
            <v>11</v>
          </cell>
          <cell r="G56">
            <v>9</v>
          </cell>
          <cell r="H56">
            <v>12</v>
          </cell>
          <cell r="I56">
            <v>1.3333333333333333</v>
          </cell>
          <cell r="J56">
            <v>1</v>
          </cell>
        </row>
        <row r="57">
          <cell r="C57" t="str">
            <v>HUANTA</v>
          </cell>
          <cell r="D57">
            <v>13</v>
          </cell>
          <cell r="E57">
            <v>28</v>
          </cell>
          <cell r="F57">
            <v>12</v>
          </cell>
          <cell r="G57">
            <v>10</v>
          </cell>
          <cell r="H57">
            <v>13</v>
          </cell>
          <cell r="I57">
            <v>1.3</v>
          </cell>
          <cell r="J57">
            <v>1</v>
          </cell>
        </row>
        <row r="58">
          <cell r="C58" t="str">
            <v>LA CONVENCION (PICHARI)</v>
          </cell>
          <cell r="D58">
            <v>7</v>
          </cell>
          <cell r="E58">
            <v>1</v>
          </cell>
          <cell r="F58">
            <v>11</v>
          </cell>
          <cell r="G58">
            <v>5</v>
          </cell>
          <cell r="H58">
            <v>7</v>
          </cell>
          <cell r="I58">
            <v>1.4</v>
          </cell>
          <cell r="J58">
            <v>1</v>
          </cell>
        </row>
        <row r="59">
          <cell r="C59" t="str">
            <v>LA MAR (Tambo)</v>
          </cell>
          <cell r="D59">
            <v>8</v>
          </cell>
          <cell r="E59">
            <v>12</v>
          </cell>
          <cell r="F59">
            <v>3</v>
          </cell>
          <cell r="G59">
            <v>6</v>
          </cell>
          <cell r="H59">
            <v>8</v>
          </cell>
          <cell r="I59">
            <v>1.3333333333333333</v>
          </cell>
          <cell r="J59">
            <v>1</v>
          </cell>
        </row>
        <row r="60">
          <cell r="C60" t="str">
            <v>VICTOR FAJARDO-SUCRE</v>
          </cell>
          <cell r="D60">
            <v>4</v>
          </cell>
          <cell r="E60">
            <v>4</v>
          </cell>
          <cell r="F60">
            <v>3</v>
          </cell>
          <cell r="G60">
            <v>3</v>
          </cell>
          <cell r="H60">
            <v>4</v>
          </cell>
          <cell r="I60">
            <v>1.3333333333333333</v>
          </cell>
          <cell r="J60">
            <v>1</v>
          </cell>
        </row>
        <row r="61">
          <cell r="C61" t="str">
            <v>BOLIVAR</v>
          </cell>
          <cell r="D61">
            <v>4</v>
          </cell>
          <cell r="E61">
            <v>1</v>
          </cell>
          <cell r="F61">
            <v>3</v>
          </cell>
          <cell r="G61">
            <v>3</v>
          </cell>
          <cell r="H61">
            <v>4</v>
          </cell>
          <cell r="I61">
            <v>1.3333333333333333</v>
          </cell>
          <cell r="J61">
            <v>1</v>
          </cell>
        </row>
        <row r="62">
          <cell r="C62" t="str">
            <v>CAJABAMBA</v>
          </cell>
          <cell r="D62">
            <v>16</v>
          </cell>
          <cell r="E62">
            <v>9</v>
          </cell>
          <cell r="F62">
            <v>7</v>
          </cell>
          <cell r="G62">
            <v>12</v>
          </cell>
          <cell r="H62">
            <v>16</v>
          </cell>
          <cell r="I62">
            <v>1.3333333333333333</v>
          </cell>
          <cell r="J62">
            <v>1</v>
          </cell>
        </row>
        <row r="63">
          <cell r="C63" t="str">
            <v>CAJAMARCA 1</v>
          </cell>
          <cell r="D63">
            <v>15</v>
          </cell>
          <cell r="E63">
            <v>43</v>
          </cell>
          <cell r="F63">
            <v>29</v>
          </cell>
          <cell r="G63">
            <v>11</v>
          </cell>
          <cell r="H63">
            <v>15</v>
          </cell>
          <cell r="I63">
            <v>1.3636363636363635</v>
          </cell>
          <cell r="J63">
            <v>1</v>
          </cell>
        </row>
        <row r="64">
          <cell r="C64" t="str">
            <v>CAJAMARCA 2</v>
          </cell>
          <cell r="D64">
            <v>15</v>
          </cell>
          <cell r="E64">
            <v>28</v>
          </cell>
          <cell r="F64">
            <v>10</v>
          </cell>
          <cell r="G64">
            <v>11</v>
          </cell>
          <cell r="H64">
            <v>15</v>
          </cell>
          <cell r="I64">
            <v>1.3636363636363635</v>
          </cell>
          <cell r="J64">
            <v>1</v>
          </cell>
        </row>
        <row r="65">
          <cell r="C65" t="str">
            <v>CAJAMARCA 3</v>
          </cell>
          <cell r="D65">
            <v>16</v>
          </cell>
          <cell r="E65">
            <v>39</v>
          </cell>
          <cell r="F65">
            <v>17</v>
          </cell>
          <cell r="G65">
            <v>12</v>
          </cell>
          <cell r="H65">
            <v>16</v>
          </cell>
          <cell r="I65">
            <v>1.3333333333333333</v>
          </cell>
          <cell r="J65">
            <v>1</v>
          </cell>
        </row>
        <row r="66">
          <cell r="C66" t="str">
            <v>CELENDIN</v>
          </cell>
          <cell r="D66">
            <v>13</v>
          </cell>
          <cell r="E66">
            <v>22</v>
          </cell>
          <cell r="F66">
            <v>7</v>
          </cell>
          <cell r="G66">
            <v>10</v>
          </cell>
          <cell r="H66">
            <v>13</v>
          </cell>
          <cell r="I66">
            <v>1.3</v>
          </cell>
          <cell r="J66">
            <v>1</v>
          </cell>
        </row>
        <row r="67">
          <cell r="C67" t="str">
            <v>CHOTA</v>
          </cell>
          <cell r="D67">
            <v>19</v>
          </cell>
          <cell r="E67">
            <v>19</v>
          </cell>
          <cell r="F67">
            <v>15</v>
          </cell>
          <cell r="G67">
            <v>15</v>
          </cell>
          <cell r="H67">
            <v>19</v>
          </cell>
          <cell r="I67">
            <v>1.2666666666666666</v>
          </cell>
          <cell r="J67">
            <v>1</v>
          </cell>
        </row>
        <row r="68">
          <cell r="C68" t="str">
            <v>CONTUMAZA</v>
          </cell>
          <cell r="D68">
            <v>6</v>
          </cell>
          <cell r="E68">
            <v>3</v>
          </cell>
          <cell r="F68">
            <v>3</v>
          </cell>
          <cell r="G68">
            <v>4</v>
          </cell>
          <cell r="H68">
            <v>6</v>
          </cell>
          <cell r="I68">
            <v>1.5</v>
          </cell>
          <cell r="J68">
            <v>1</v>
          </cell>
        </row>
        <row r="69">
          <cell r="C69" t="str">
            <v>CUTERVO</v>
          </cell>
          <cell r="D69">
            <v>19</v>
          </cell>
          <cell r="E69">
            <v>17</v>
          </cell>
          <cell r="F69">
            <v>12</v>
          </cell>
          <cell r="G69">
            <v>15</v>
          </cell>
          <cell r="H69">
            <v>19</v>
          </cell>
          <cell r="I69">
            <v>1.2666666666666666</v>
          </cell>
          <cell r="J69">
            <v>1</v>
          </cell>
        </row>
        <row r="70">
          <cell r="C70" t="str">
            <v>HUALGAYOC</v>
          </cell>
          <cell r="D70">
            <v>12</v>
          </cell>
          <cell r="E70">
            <v>8</v>
          </cell>
          <cell r="F70">
            <v>4</v>
          </cell>
          <cell r="G70">
            <v>9</v>
          </cell>
          <cell r="H70">
            <v>12</v>
          </cell>
          <cell r="I70">
            <v>1.3333333333333333</v>
          </cell>
          <cell r="J70">
            <v>1</v>
          </cell>
        </row>
        <row r="71">
          <cell r="C71" t="str">
            <v>SAN MARCOS</v>
          </cell>
          <cell r="D71">
            <v>9</v>
          </cell>
          <cell r="E71">
            <v>8</v>
          </cell>
          <cell r="F71">
            <v>6</v>
          </cell>
          <cell r="G71">
            <v>7</v>
          </cell>
          <cell r="H71">
            <v>9</v>
          </cell>
          <cell r="I71">
            <v>1.2857142857142858</v>
          </cell>
          <cell r="J71">
            <v>1</v>
          </cell>
        </row>
        <row r="72">
          <cell r="C72" t="str">
            <v>SAN MIGUEL (PALLEQUES)</v>
          </cell>
          <cell r="D72">
            <v>7</v>
          </cell>
          <cell r="E72">
            <v>8</v>
          </cell>
          <cell r="F72">
            <v>6</v>
          </cell>
          <cell r="G72">
            <v>5</v>
          </cell>
          <cell r="H72">
            <v>7</v>
          </cell>
          <cell r="I72">
            <v>1.4</v>
          </cell>
          <cell r="J72">
            <v>1</v>
          </cell>
        </row>
        <row r="73">
          <cell r="C73" t="str">
            <v>SAN PABLO</v>
          </cell>
          <cell r="D73">
            <v>4</v>
          </cell>
          <cell r="E73">
            <v>5</v>
          </cell>
          <cell r="F73">
            <v>4</v>
          </cell>
          <cell r="G73">
            <v>3</v>
          </cell>
          <cell r="H73">
            <v>4</v>
          </cell>
          <cell r="I73">
            <v>1.3333333333333333</v>
          </cell>
          <cell r="J73">
            <v>1</v>
          </cell>
        </row>
        <row r="74">
          <cell r="C74" t="str">
            <v>SANTA CRUZ</v>
          </cell>
          <cell r="D74">
            <v>7</v>
          </cell>
          <cell r="E74">
            <v>9</v>
          </cell>
          <cell r="F74">
            <v>3</v>
          </cell>
          <cell r="G74">
            <v>5</v>
          </cell>
          <cell r="H74">
            <v>7</v>
          </cell>
          <cell r="I74">
            <v>1.4</v>
          </cell>
          <cell r="J74">
            <v>1</v>
          </cell>
        </row>
        <row r="75">
          <cell r="C75" t="str">
            <v>CALLAO 1</v>
          </cell>
          <cell r="D75">
            <v>16</v>
          </cell>
          <cell r="E75">
            <v>5</v>
          </cell>
          <cell r="F75">
            <v>11</v>
          </cell>
          <cell r="G75">
            <v>12</v>
          </cell>
          <cell r="H75">
            <v>16</v>
          </cell>
          <cell r="I75">
            <v>1.3333333333333333</v>
          </cell>
          <cell r="J75">
            <v>1</v>
          </cell>
        </row>
        <row r="76">
          <cell r="C76" t="str">
            <v>CALLAO 2</v>
          </cell>
          <cell r="D76">
            <v>18</v>
          </cell>
          <cell r="F76">
            <v>14</v>
          </cell>
          <cell r="G76">
            <v>14</v>
          </cell>
          <cell r="H76">
            <v>18</v>
          </cell>
          <cell r="I76">
            <v>1.2857142857142858</v>
          </cell>
          <cell r="J76">
            <v>1</v>
          </cell>
        </row>
        <row r="77">
          <cell r="C77" t="str">
            <v>CALLAO 3</v>
          </cell>
          <cell r="D77">
            <v>17</v>
          </cell>
          <cell r="E77">
            <v>3</v>
          </cell>
          <cell r="F77">
            <v>16</v>
          </cell>
          <cell r="G77">
            <v>13</v>
          </cell>
          <cell r="H77">
            <v>17</v>
          </cell>
          <cell r="I77">
            <v>1.3076923076923077</v>
          </cell>
          <cell r="J77">
            <v>1</v>
          </cell>
        </row>
        <row r="78">
          <cell r="C78" t="str">
            <v>VENTANILLA 1</v>
          </cell>
          <cell r="D78">
            <v>18</v>
          </cell>
          <cell r="E78">
            <v>6</v>
          </cell>
          <cell r="F78">
            <v>17</v>
          </cell>
          <cell r="G78">
            <v>14</v>
          </cell>
          <cell r="H78">
            <v>18</v>
          </cell>
          <cell r="I78">
            <v>1.2857142857142858</v>
          </cell>
          <cell r="J78">
            <v>1</v>
          </cell>
        </row>
        <row r="79">
          <cell r="C79" t="str">
            <v>VENTANILLA 2</v>
          </cell>
          <cell r="D79">
            <v>17</v>
          </cell>
          <cell r="E79">
            <v>11</v>
          </cell>
          <cell r="F79">
            <v>8</v>
          </cell>
          <cell r="G79">
            <v>13</v>
          </cell>
          <cell r="H79">
            <v>17</v>
          </cell>
          <cell r="I79">
            <v>1.3076923076923077</v>
          </cell>
          <cell r="J79">
            <v>1</v>
          </cell>
        </row>
        <row r="80">
          <cell r="C80" t="str">
            <v>ACOMAYO</v>
          </cell>
          <cell r="D80">
            <v>3</v>
          </cell>
          <cell r="E80">
            <v>3</v>
          </cell>
          <cell r="F80">
            <v>2</v>
          </cell>
          <cell r="G80">
            <v>2</v>
          </cell>
          <cell r="H80">
            <v>3</v>
          </cell>
          <cell r="I80">
            <v>1.5</v>
          </cell>
          <cell r="J80">
            <v>1</v>
          </cell>
        </row>
        <row r="81">
          <cell r="C81" t="str">
            <v>ANTA</v>
          </cell>
          <cell r="D81">
            <v>7</v>
          </cell>
          <cell r="E81">
            <v>30</v>
          </cell>
          <cell r="F81">
            <v>13</v>
          </cell>
          <cell r="G81">
            <v>5</v>
          </cell>
          <cell r="H81">
            <v>7</v>
          </cell>
          <cell r="I81">
            <v>1.4</v>
          </cell>
          <cell r="J81">
            <v>1</v>
          </cell>
        </row>
        <row r="82">
          <cell r="C82" t="str">
            <v>CALCA</v>
          </cell>
          <cell r="D82">
            <v>7</v>
          </cell>
          <cell r="E82">
            <v>7</v>
          </cell>
          <cell r="F82">
            <v>11</v>
          </cell>
          <cell r="G82">
            <v>5</v>
          </cell>
          <cell r="H82">
            <v>7</v>
          </cell>
          <cell r="I82">
            <v>1.4</v>
          </cell>
          <cell r="J82">
            <v>1</v>
          </cell>
        </row>
        <row r="83">
          <cell r="C83" t="str">
            <v>CANCHIS</v>
          </cell>
          <cell r="D83">
            <v>9</v>
          </cell>
          <cell r="E83">
            <v>21</v>
          </cell>
          <cell r="F83">
            <v>19</v>
          </cell>
          <cell r="G83">
            <v>7</v>
          </cell>
          <cell r="H83">
            <v>9</v>
          </cell>
          <cell r="I83">
            <v>1.2857142857142858</v>
          </cell>
          <cell r="J83">
            <v>1</v>
          </cell>
        </row>
        <row r="84">
          <cell r="C84" t="str">
            <v>CHUMBIVILCAS</v>
          </cell>
          <cell r="D84">
            <v>4</v>
          </cell>
          <cell r="E84">
            <v>5</v>
          </cell>
          <cell r="F84">
            <v>7</v>
          </cell>
          <cell r="G84">
            <v>3</v>
          </cell>
          <cell r="H84">
            <v>4</v>
          </cell>
          <cell r="I84">
            <v>1.3333333333333333</v>
          </cell>
          <cell r="J84">
            <v>1</v>
          </cell>
        </row>
        <row r="85">
          <cell r="C85" t="str">
            <v>CUSCO 1-MANU</v>
          </cell>
          <cell r="D85">
            <v>19</v>
          </cell>
          <cell r="E85">
            <v>23</v>
          </cell>
          <cell r="F85">
            <v>12</v>
          </cell>
          <cell r="G85">
            <v>15</v>
          </cell>
          <cell r="H85">
            <v>19</v>
          </cell>
          <cell r="I85">
            <v>1.2666666666666666</v>
          </cell>
          <cell r="J85">
            <v>1</v>
          </cell>
        </row>
        <row r="86">
          <cell r="C86" t="str">
            <v>CUSCO 2-PARURO</v>
          </cell>
          <cell r="D86">
            <v>19</v>
          </cell>
          <cell r="E86">
            <v>49</v>
          </cell>
          <cell r="F86">
            <v>27</v>
          </cell>
          <cell r="G86">
            <v>15</v>
          </cell>
          <cell r="H86">
            <v>19</v>
          </cell>
          <cell r="I86">
            <v>1.2666666666666666</v>
          </cell>
          <cell r="J86">
            <v>1</v>
          </cell>
        </row>
        <row r="87">
          <cell r="C87" t="str">
            <v>ESPINAR-CANAS</v>
          </cell>
          <cell r="D87">
            <v>7</v>
          </cell>
          <cell r="E87">
            <v>4</v>
          </cell>
          <cell r="F87">
            <v>7</v>
          </cell>
          <cell r="G87">
            <v>5</v>
          </cell>
          <cell r="H87">
            <v>7</v>
          </cell>
          <cell r="I87">
            <v>1.4</v>
          </cell>
          <cell r="J87">
            <v>1</v>
          </cell>
        </row>
        <row r="88">
          <cell r="C88" t="str">
            <v>LA CONVENCION (QUILLABAMBA)</v>
          </cell>
          <cell r="D88">
            <v>13</v>
          </cell>
          <cell r="E88">
            <v>12</v>
          </cell>
          <cell r="F88">
            <v>19</v>
          </cell>
          <cell r="G88">
            <v>10</v>
          </cell>
          <cell r="H88">
            <v>13</v>
          </cell>
          <cell r="I88">
            <v>1.3</v>
          </cell>
          <cell r="J88">
            <v>1</v>
          </cell>
        </row>
        <row r="89">
          <cell r="C89" t="str">
            <v>PAUCARTAMBO</v>
          </cell>
          <cell r="D89">
            <v>3</v>
          </cell>
          <cell r="E89">
            <v>3</v>
          </cell>
          <cell r="F89">
            <v>3</v>
          </cell>
          <cell r="G89">
            <v>2</v>
          </cell>
          <cell r="H89">
            <v>3</v>
          </cell>
          <cell r="I89">
            <v>1.5</v>
          </cell>
          <cell r="J89">
            <v>1</v>
          </cell>
        </row>
        <row r="90">
          <cell r="C90" t="str">
            <v>QUISPICANCHI</v>
          </cell>
          <cell r="D90">
            <v>7</v>
          </cell>
          <cell r="E90">
            <v>13</v>
          </cell>
          <cell r="F90">
            <v>5</v>
          </cell>
          <cell r="G90">
            <v>5</v>
          </cell>
          <cell r="H90">
            <v>7</v>
          </cell>
          <cell r="I90">
            <v>1.4</v>
          </cell>
          <cell r="J90">
            <v>1</v>
          </cell>
        </row>
        <row r="91">
          <cell r="C91" t="str">
            <v>URUBAMBA</v>
          </cell>
          <cell r="D91">
            <v>8</v>
          </cell>
          <cell r="E91">
            <v>7</v>
          </cell>
          <cell r="F91">
            <v>8</v>
          </cell>
          <cell r="G91">
            <v>6</v>
          </cell>
          <cell r="H91">
            <v>8</v>
          </cell>
          <cell r="I91">
            <v>1.3333333333333333</v>
          </cell>
          <cell r="J91">
            <v>1</v>
          </cell>
        </row>
        <row r="92">
          <cell r="C92" t="str">
            <v>ACOBAMBA</v>
          </cell>
          <cell r="D92">
            <v>4</v>
          </cell>
          <cell r="E92">
            <v>9</v>
          </cell>
          <cell r="F92">
            <v>3</v>
          </cell>
          <cell r="G92">
            <v>3</v>
          </cell>
          <cell r="H92">
            <v>4</v>
          </cell>
          <cell r="I92">
            <v>1.3333333333333333</v>
          </cell>
          <cell r="J92">
            <v>1</v>
          </cell>
        </row>
        <row r="93">
          <cell r="C93" t="str">
            <v>ANGARAES</v>
          </cell>
          <cell r="D93">
            <v>6</v>
          </cell>
          <cell r="E93">
            <v>13</v>
          </cell>
          <cell r="F93">
            <v>5</v>
          </cell>
          <cell r="G93">
            <v>4</v>
          </cell>
          <cell r="H93">
            <v>6</v>
          </cell>
          <cell r="I93">
            <v>1.5</v>
          </cell>
          <cell r="J93">
            <v>1</v>
          </cell>
        </row>
        <row r="94">
          <cell r="C94" t="str">
            <v>CHURCAMPA</v>
          </cell>
          <cell r="D94">
            <v>6</v>
          </cell>
          <cell r="E94">
            <v>6</v>
          </cell>
          <cell r="F94">
            <v>2</v>
          </cell>
          <cell r="G94">
            <v>4</v>
          </cell>
          <cell r="H94">
            <v>6</v>
          </cell>
          <cell r="I94">
            <v>1.5</v>
          </cell>
          <cell r="J94">
            <v>1</v>
          </cell>
        </row>
        <row r="95">
          <cell r="C95" t="str">
            <v>HUANCAVELICA-CASTROVIRREYNA</v>
          </cell>
          <cell r="D95">
            <v>16</v>
          </cell>
          <cell r="E95">
            <v>31</v>
          </cell>
          <cell r="F95">
            <v>19</v>
          </cell>
          <cell r="G95">
            <v>12</v>
          </cell>
          <cell r="H95">
            <v>16</v>
          </cell>
          <cell r="I95">
            <v>1.3333333333333333</v>
          </cell>
          <cell r="J95">
            <v>1</v>
          </cell>
        </row>
        <row r="96">
          <cell r="C96" t="str">
            <v>TAYACAJA</v>
          </cell>
          <cell r="D96">
            <v>16</v>
          </cell>
          <cell r="E96">
            <v>25</v>
          </cell>
          <cell r="F96">
            <v>10</v>
          </cell>
          <cell r="G96">
            <v>12</v>
          </cell>
          <cell r="H96">
            <v>16</v>
          </cell>
          <cell r="I96">
            <v>1.3333333333333333</v>
          </cell>
          <cell r="J96">
            <v>1</v>
          </cell>
        </row>
        <row r="97">
          <cell r="C97" t="str">
            <v>AMBO</v>
          </cell>
          <cell r="D97">
            <v>7</v>
          </cell>
          <cell r="E97">
            <v>8</v>
          </cell>
          <cell r="F97">
            <v>11</v>
          </cell>
          <cell r="G97">
            <v>5</v>
          </cell>
          <cell r="H97">
            <v>7</v>
          </cell>
          <cell r="I97">
            <v>1.4</v>
          </cell>
          <cell r="J97">
            <v>1</v>
          </cell>
        </row>
        <row r="98">
          <cell r="C98" t="str">
            <v>DOS DE MAYO</v>
          </cell>
          <cell r="D98">
            <v>6</v>
          </cell>
          <cell r="E98">
            <v>10</v>
          </cell>
          <cell r="F98">
            <v>3</v>
          </cell>
          <cell r="G98">
            <v>4</v>
          </cell>
          <cell r="H98">
            <v>6</v>
          </cell>
          <cell r="I98">
            <v>1.5</v>
          </cell>
          <cell r="J98">
            <v>1</v>
          </cell>
        </row>
        <row r="99">
          <cell r="C99" t="str">
            <v>HUAMALIES</v>
          </cell>
          <cell r="D99">
            <v>6</v>
          </cell>
          <cell r="E99">
            <v>15</v>
          </cell>
          <cell r="F99">
            <v>11</v>
          </cell>
          <cell r="G99">
            <v>4</v>
          </cell>
          <cell r="H99">
            <v>6</v>
          </cell>
          <cell r="I99">
            <v>1.5</v>
          </cell>
          <cell r="J99">
            <v>1</v>
          </cell>
        </row>
        <row r="100">
          <cell r="C100" t="str">
            <v>HUANUCO 1-HUACAYBAMBA</v>
          </cell>
          <cell r="D100">
            <v>16</v>
          </cell>
          <cell r="E100">
            <v>15</v>
          </cell>
          <cell r="F100">
            <v>17</v>
          </cell>
          <cell r="G100">
            <v>12</v>
          </cell>
          <cell r="H100">
            <v>16</v>
          </cell>
          <cell r="I100">
            <v>1.3333333333333333</v>
          </cell>
          <cell r="J100">
            <v>1</v>
          </cell>
        </row>
        <row r="101">
          <cell r="C101" t="str">
            <v>HUANUCO 2</v>
          </cell>
          <cell r="D101">
            <v>19</v>
          </cell>
          <cell r="E101">
            <v>77</v>
          </cell>
          <cell r="F101">
            <v>37</v>
          </cell>
          <cell r="G101">
            <v>15</v>
          </cell>
          <cell r="H101">
            <v>19</v>
          </cell>
          <cell r="I101">
            <v>1.2666666666666666</v>
          </cell>
          <cell r="J101">
            <v>1</v>
          </cell>
        </row>
        <row r="102">
          <cell r="C102" t="str">
            <v>LAURICOCHA</v>
          </cell>
          <cell r="D102">
            <v>4</v>
          </cell>
          <cell r="E102">
            <v>3</v>
          </cell>
          <cell r="F102">
            <v>4</v>
          </cell>
          <cell r="G102">
            <v>3</v>
          </cell>
          <cell r="H102">
            <v>4</v>
          </cell>
          <cell r="I102">
            <v>1.3333333333333333</v>
          </cell>
          <cell r="J102">
            <v>1</v>
          </cell>
        </row>
        <row r="103">
          <cell r="C103" t="str">
            <v>LEONCIO PRADO</v>
          </cell>
          <cell r="D103">
            <v>19</v>
          </cell>
          <cell r="E103">
            <v>19</v>
          </cell>
          <cell r="F103">
            <v>9</v>
          </cell>
          <cell r="G103">
            <v>15</v>
          </cell>
          <cell r="H103">
            <v>19</v>
          </cell>
          <cell r="I103">
            <v>1.2666666666666666</v>
          </cell>
          <cell r="J103">
            <v>1</v>
          </cell>
        </row>
        <row r="104">
          <cell r="C104" t="str">
            <v>MARAÑON</v>
          </cell>
          <cell r="D104">
            <v>6</v>
          </cell>
          <cell r="E104">
            <v>6</v>
          </cell>
          <cell r="F104">
            <v>4</v>
          </cell>
          <cell r="G104">
            <v>4</v>
          </cell>
          <cell r="H104">
            <v>6</v>
          </cell>
          <cell r="I104">
            <v>1.5</v>
          </cell>
          <cell r="J104">
            <v>1</v>
          </cell>
        </row>
        <row r="105">
          <cell r="C105" t="str">
            <v>PACHITEA</v>
          </cell>
          <cell r="D105">
            <v>7</v>
          </cell>
          <cell r="E105">
            <v>9</v>
          </cell>
          <cell r="F105">
            <v>3</v>
          </cell>
          <cell r="G105">
            <v>5</v>
          </cell>
          <cell r="H105">
            <v>7</v>
          </cell>
          <cell r="I105">
            <v>1.4</v>
          </cell>
          <cell r="J105">
            <v>1</v>
          </cell>
        </row>
        <row r="106">
          <cell r="C106" t="str">
            <v>YAROWILCA</v>
          </cell>
          <cell r="D106">
            <v>4</v>
          </cell>
          <cell r="E106">
            <v>9</v>
          </cell>
          <cell r="F106">
            <v>5</v>
          </cell>
          <cell r="G106">
            <v>3</v>
          </cell>
          <cell r="H106">
            <v>4</v>
          </cell>
          <cell r="I106">
            <v>1.3333333333333333</v>
          </cell>
          <cell r="J106">
            <v>1</v>
          </cell>
        </row>
        <row r="107">
          <cell r="C107" t="str">
            <v>CHINCHA 1</v>
          </cell>
          <cell r="D107">
            <v>13</v>
          </cell>
          <cell r="E107">
            <v>9</v>
          </cell>
          <cell r="F107">
            <v>7</v>
          </cell>
          <cell r="G107">
            <v>10</v>
          </cell>
          <cell r="H107">
            <v>13</v>
          </cell>
          <cell r="I107">
            <v>1.3</v>
          </cell>
          <cell r="J107">
            <v>1</v>
          </cell>
        </row>
        <row r="108">
          <cell r="C108" t="str">
            <v>CHINCHA 2</v>
          </cell>
          <cell r="D108">
            <v>15</v>
          </cell>
          <cell r="E108">
            <v>6</v>
          </cell>
          <cell r="F108">
            <v>5</v>
          </cell>
          <cell r="G108">
            <v>11</v>
          </cell>
          <cell r="H108">
            <v>15</v>
          </cell>
          <cell r="I108">
            <v>1.3636363636363635</v>
          </cell>
          <cell r="J108">
            <v>1</v>
          </cell>
        </row>
        <row r="109">
          <cell r="C109" t="str">
            <v>HUAYTARA</v>
          </cell>
          <cell r="D109">
            <v>3</v>
          </cell>
          <cell r="E109">
            <v>6</v>
          </cell>
          <cell r="F109">
            <v>3</v>
          </cell>
          <cell r="G109">
            <v>2</v>
          </cell>
          <cell r="H109">
            <v>3</v>
          </cell>
          <cell r="I109">
            <v>1.5</v>
          </cell>
          <cell r="J109">
            <v>1</v>
          </cell>
        </row>
        <row r="110">
          <cell r="C110" t="str">
            <v>ICA 1</v>
          </cell>
          <cell r="D110">
            <v>18</v>
          </cell>
          <cell r="E110">
            <v>28</v>
          </cell>
          <cell r="F110">
            <v>21</v>
          </cell>
          <cell r="G110">
            <v>14</v>
          </cell>
          <cell r="H110">
            <v>18</v>
          </cell>
          <cell r="I110">
            <v>1.2857142857142858</v>
          </cell>
          <cell r="J110">
            <v>1</v>
          </cell>
        </row>
        <row r="111">
          <cell r="C111" t="str">
            <v>ICA 2</v>
          </cell>
          <cell r="D111">
            <v>20</v>
          </cell>
          <cell r="E111">
            <v>25</v>
          </cell>
          <cell r="F111">
            <v>17</v>
          </cell>
          <cell r="G111">
            <v>16</v>
          </cell>
          <cell r="H111">
            <v>20</v>
          </cell>
          <cell r="I111">
            <v>1.25</v>
          </cell>
          <cell r="J111">
            <v>1</v>
          </cell>
        </row>
        <row r="112">
          <cell r="C112" t="str">
            <v>LUCANAS</v>
          </cell>
          <cell r="D112">
            <v>8</v>
          </cell>
          <cell r="E112">
            <v>18</v>
          </cell>
          <cell r="F112">
            <v>1</v>
          </cell>
          <cell r="G112">
            <v>6</v>
          </cell>
          <cell r="H112">
            <v>8</v>
          </cell>
          <cell r="I112">
            <v>1.3333333333333333</v>
          </cell>
          <cell r="J112">
            <v>1</v>
          </cell>
        </row>
        <row r="113">
          <cell r="C113" t="str">
            <v>NAZCA-PALPA</v>
          </cell>
          <cell r="D113">
            <v>11</v>
          </cell>
          <cell r="E113">
            <v>1</v>
          </cell>
          <cell r="F113">
            <v>2</v>
          </cell>
          <cell r="G113">
            <v>8</v>
          </cell>
          <cell r="H113">
            <v>11</v>
          </cell>
          <cell r="I113">
            <v>1.375</v>
          </cell>
          <cell r="J113">
            <v>1</v>
          </cell>
        </row>
        <row r="114">
          <cell r="C114" t="str">
            <v>PARINACOCHAS-PAUSA</v>
          </cell>
          <cell r="D114">
            <v>7</v>
          </cell>
          <cell r="F114">
            <v>9</v>
          </cell>
          <cell r="G114">
            <v>5</v>
          </cell>
          <cell r="H114">
            <v>7</v>
          </cell>
          <cell r="I114">
            <v>1.4</v>
          </cell>
          <cell r="J114">
            <v>1</v>
          </cell>
        </row>
        <row r="115">
          <cell r="C115" t="str">
            <v>PISCO</v>
          </cell>
          <cell r="D115">
            <v>18</v>
          </cell>
          <cell r="E115">
            <v>4</v>
          </cell>
          <cell r="F115">
            <v>8</v>
          </cell>
          <cell r="G115">
            <v>14</v>
          </cell>
          <cell r="H115">
            <v>18</v>
          </cell>
          <cell r="I115">
            <v>1.2857142857142858</v>
          </cell>
          <cell r="J115">
            <v>1</v>
          </cell>
        </row>
        <row r="116">
          <cell r="C116" t="str">
            <v>CHANCHAMAYO</v>
          </cell>
          <cell r="D116">
            <v>20</v>
          </cell>
          <cell r="E116">
            <v>16</v>
          </cell>
          <cell r="F116">
            <v>18</v>
          </cell>
          <cell r="G116">
            <v>16</v>
          </cell>
          <cell r="H116">
            <v>20</v>
          </cell>
          <cell r="I116">
            <v>1.25</v>
          </cell>
          <cell r="J116">
            <v>1</v>
          </cell>
        </row>
        <row r="117">
          <cell r="C117" t="str">
            <v>CHUPACA</v>
          </cell>
          <cell r="D117">
            <v>9</v>
          </cell>
          <cell r="E117">
            <v>21</v>
          </cell>
          <cell r="F117">
            <v>7</v>
          </cell>
          <cell r="G117">
            <v>7</v>
          </cell>
          <cell r="H117">
            <v>9</v>
          </cell>
          <cell r="I117">
            <v>1.2857142857142858</v>
          </cell>
          <cell r="J117">
            <v>1</v>
          </cell>
        </row>
        <row r="118">
          <cell r="C118" t="str">
            <v>CONCEPCION</v>
          </cell>
          <cell r="D118">
            <v>8</v>
          </cell>
          <cell r="E118">
            <v>7</v>
          </cell>
          <cell r="F118">
            <v>7</v>
          </cell>
          <cell r="G118">
            <v>6</v>
          </cell>
          <cell r="H118">
            <v>8</v>
          </cell>
          <cell r="I118">
            <v>1.3333333333333333</v>
          </cell>
          <cell r="J118">
            <v>1</v>
          </cell>
        </row>
        <row r="119">
          <cell r="C119" t="str">
            <v>HUANCAYO 1</v>
          </cell>
          <cell r="D119">
            <v>19</v>
          </cell>
          <cell r="E119">
            <v>45</v>
          </cell>
          <cell r="F119">
            <v>21</v>
          </cell>
          <cell r="G119">
            <v>15</v>
          </cell>
          <cell r="H119">
            <v>19</v>
          </cell>
          <cell r="I119">
            <v>1.2666666666666666</v>
          </cell>
          <cell r="J119">
            <v>1</v>
          </cell>
        </row>
        <row r="120">
          <cell r="C120" t="str">
            <v>HUANCAYO 2</v>
          </cell>
          <cell r="D120">
            <v>19</v>
          </cell>
          <cell r="E120">
            <v>49</v>
          </cell>
          <cell r="F120">
            <v>14</v>
          </cell>
          <cell r="G120">
            <v>15</v>
          </cell>
          <cell r="H120">
            <v>19</v>
          </cell>
          <cell r="I120">
            <v>1.2666666666666666</v>
          </cell>
          <cell r="J120">
            <v>1</v>
          </cell>
        </row>
        <row r="121">
          <cell r="C121" t="str">
            <v>HUANCAYO 3</v>
          </cell>
          <cell r="D121">
            <v>17</v>
          </cell>
          <cell r="E121">
            <v>45</v>
          </cell>
          <cell r="F121">
            <v>19</v>
          </cell>
          <cell r="G121">
            <v>13</v>
          </cell>
          <cell r="H121">
            <v>17</v>
          </cell>
          <cell r="I121">
            <v>1.3076923076923077</v>
          </cell>
          <cell r="J121">
            <v>1</v>
          </cell>
        </row>
        <row r="122">
          <cell r="C122" t="str">
            <v>JAUJA</v>
          </cell>
          <cell r="D122">
            <v>12</v>
          </cell>
          <cell r="E122">
            <v>8</v>
          </cell>
          <cell r="F122">
            <v>8</v>
          </cell>
          <cell r="G122">
            <v>9</v>
          </cell>
          <cell r="H122">
            <v>12</v>
          </cell>
          <cell r="I122">
            <v>1.3333333333333333</v>
          </cell>
          <cell r="J122">
            <v>1</v>
          </cell>
        </row>
        <row r="123">
          <cell r="C123" t="str">
            <v>SATIPO 1</v>
          </cell>
          <cell r="D123">
            <v>13</v>
          </cell>
          <cell r="E123">
            <v>20</v>
          </cell>
          <cell r="F123">
            <v>11</v>
          </cell>
          <cell r="G123">
            <v>10</v>
          </cell>
          <cell r="H123">
            <v>13</v>
          </cell>
          <cell r="I123">
            <v>1.3</v>
          </cell>
          <cell r="J123">
            <v>1</v>
          </cell>
        </row>
        <row r="124">
          <cell r="C124" t="str">
            <v>SATIPO 2</v>
          </cell>
          <cell r="D124">
            <v>12</v>
          </cell>
          <cell r="E124">
            <v>7</v>
          </cell>
          <cell r="F124">
            <v>4</v>
          </cell>
          <cell r="G124">
            <v>9</v>
          </cell>
          <cell r="H124">
            <v>12</v>
          </cell>
          <cell r="I124">
            <v>1.3333333333333333</v>
          </cell>
          <cell r="J124">
            <v>1</v>
          </cell>
        </row>
        <row r="125">
          <cell r="C125" t="str">
            <v>TARMA</v>
          </cell>
          <cell r="D125">
            <v>11</v>
          </cell>
          <cell r="E125">
            <v>7</v>
          </cell>
          <cell r="F125">
            <v>7</v>
          </cell>
          <cell r="G125">
            <v>8</v>
          </cell>
          <cell r="H125">
            <v>11</v>
          </cell>
          <cell r="I125">
            <v>1.375</v>
          </cell>
          <cell r="J125">
            <v>1</v>
          </cell>
        </row>
        <row r="126">
          <cell r="C126" t="str">
            <v>YAULI-JUNIN</v>
          </cell>
          <cell r="D126">
            <v>8</v>
          </cell>
          <cell r="E126">
            <v>6</v>
          </cell>
          <cell r="F126">
            <v>7</v>
          </cell>
          <cell r="G126">
            <v>6</v>
          </cell>
          <cell r="H126">
            <v>8</v>
          </cell>
          <cell r="I126">
            <v>1.3333333333333333</v>
          </cell>
          <cell r="J126">
            <v>1</v>
          </cell>
        </row>
        <row r="127">
          <cell r="C127" t="str">
            <v>ASCOPE</v>
          </cell>
          <cell r="D127">
            <v>12</v>
          </cell>
          <cell r="E127">
            <v>1</v>
          </cell>
          <cell r="F127">
            <v>8</v>
          </cell>
          <cell r="G127">
            <v>9</v>
          </cell>
          <cell r="H127">
            <v>12</v>
          </cell>
          <cell r="I127">
            <v>1.3333333333333333</v>
          </cell>
          <cell r="J127">
            <v>1</v>
          </cell>
        </row>
        <row r="128">
          <cell r="C128" t="str">
            <v>CHEPEN</v>
          </cell>
          <cell r="D128">
            <v>8</v>
          </cell>
          <cell r="E128">
            <v>6</v>
          </cell>
          <cell r="F128">
            <v>2</v>
          </cell>
          <cell r="G128">
            <v>6</v>
          </cell>
          <cell r="H128">
            <v>8</v>
          </cell>
          <cell r="I128">
            <v>1.3333333333333333</v>
          </cell>
          <cell r="J128">
            <v>1</v>
          </cell>
        </row>
        <row r="129">
          <cell r="C129" t="str">
            <v>GRAN CHIMU</v>
          </cell>
          <cell r="D129">
            <v>6</v>
          </cell>
          <cell r="E129">
            <v>2</v>
          </cell>
          <cell r="G129">
            <v>4</v>
          </cell>
          <cell r="H129">
            <v>6</v>
          </cell>
          <cell r="I129">
            <v>1.5</v>
          </cell>
          <cell r="J129">
            <v>1</v>
          </cell>
        </row>
        <row r="130">
          <cell r="C130" t="str">
            <v>PACASMAYO</v>
          </cell>
          <cell r="D130">
            <v>11</v>
          </cell>
          <cell r="E130">
            <v>3</v>
          </cell>
          <cell r="F130">
            <v>7</v>
          </cell>
          <cell r="G130">
            <v>8</v>
          </cell>
          <cell r="H130">
            <v>11</v>
          </cell>
          <cell r="I130">
            <v>1.375</v>
          </cell>
          <cell r="J130">
            <v>1</v>
          </cell>
        </row>
        <row r="131">
          <cell r="C131" t="str">
            <v>TRUJILLO 2 (La Esperanza)</v>
          </cell>
          <cell r="D131">
            <v>18</v>
          </cell>
          <cell r="E131">
            <v>26</v>
          </cell>
          <cell r="F131">
            <v>7</v>
          </cell>
          <cell r="G131">
            <v>14</v>
          </cell>
          <cell r="H131">
            <v>18</v>
          </cell>
          <cell r="I131">
            <v>1.2857142857142858</v>
          </cell>
          <cell r="J131">
            <v>1</v>
          </cell>
        </row>
        <row r="132">
          <cell r="C132" t="str">
            <v>TRUJILLO 3 (Nor Oeste)</v>
          </cell>
          <cell r="D132">
            <v>21</v>
          </cell>
          <cell r="E132">
            <v>28</v>
          </cell>
          <cell r="F132">
            <v>18</v>
          </cell>
          <cell r="G132">
            <v>17</v>
          </cell>
          <cell r="H132">
            <v>21</v>
          </cell>
          <cell r="I132">
            <v>1.2352941176470589</v>
          </cell>
          <cell r="J132">
            <v>1</v>
          </cell>
        </row>
        <row r="133">
          <cell r="C133" t="str">
            <v>VIRU</v>
          </cell>
          <cell r="D133">
            <v>12</v>
          </cell>
          <cell r="E133">
            <v>2</v>
          </cell>
          <cell r="F133">
            <v>14</v>
          </cell>
          <cell r="G133">
            <v>9</v>
          </cell>
          <cell r="H133">
            <v>12</v>
          </cell>
          <cell r="I133">
            <v>1.3333333333333333</v>
          </cell>
          <cell r="J133">
            <v>1</v>
          </cell>
        </row>
        <row r="134">
          <cell r="C134" t="str">
            <v>JULCAN</v>
          </cell>
          <cell r="D134">
            <v>7</v>
          </cell>
          <cell r="E134">
            <v>10</v>
          </cell>
          <cell r="F134">
            <v>10</v>
          </cell>
          <cell r="G134">
            <v>5</v>
          </cell>
          <cell r="H134">
            <v>7</v>
          </cell>
          <cell r="I134">
            <v>1.4</v>
          </cell>
          <cell r="J134">
            <v>1</v>
          </cell>
        </row>
        <row r="135">
          <cell r="C135" t="str">
            <v>OTUZCO</v>
          </cell>
          <cell r="D135">
            <v>13</v>
          </cell>
          <cell r="E135">
            <v>10</v>
          </cell>
          <cell r="F135">
            <v>9</v>
          </cell>
          <cell r="G135">
            <v>10</v>
          </cell>
          <cell r="H135">
            <v>13</v>
          </cell>
          <cell r="I135">
            <v>1.3</v>
          </cell>
          <cell r="J135">
            <v>1</v>
          </cell>
        </row>
        <row r="136">
          <cell r="C136" t="str">
            <v>PATAZ</v>
          </cell>
          <cell r="D136">
            <v>16</v>
          </cell>
          <cell r="E136">
            <v>5</v>
          </cell>
          <cell r="F136">
            <v>9</v>
          </cell>
          <cell r="G136">
            <v>12</v>
          </cell>
          <cell r="H136">
            <v>16</v>
          </cell>
          <cell r="I136">
            <v>1.3333333333333333</v>
          </cell>
          <cell r="J136">
            <v>1</v>
          </cell>
        </row>
        <row r="137">
          <cell r="C137" t="str">
            <v>SANCHEZ CARRION 1</v>
          </cell>
          <cell r="D137">
            <v>13</v>
          </cell>
          <cell r="E137">
            <v>10</v>
          </cell>
          <cell r="F137">
            <v>11</v>
          </cell>
          <cell r="G137">
            <v>10</v>
          </cell>
          <cell r="H137">
            <v>13</v>
          </cell>
          <cell r="I137">
            <v>1.3</v>
          </cell>
          <cell r="J137">
            <v>1</v>
          </cell>
        </row>
        <row r="138">
          <cell r="C138" t="str">
            <v>SANCHEZ CARRION 2</v>
          </cell>
          <cell r="D138">
            <v>13</v>
          </cell>
          <cell r="E138">
            <v>13</v>
          </cell>
          <cell r="F138">
            <v>8</v>
          </cell>
          <cell r="G138">
            <v>10</v>
          </cell>
          <cell r="H138">
            <v>13</v>
          </cell>
          <cell r="I138">
            <v>1.3</v>
          </cell>
          <cell r="J138">
            <v>1</v>
          </cell>
        </row>
        <row r="139">
          <cell r="C139" t="str">
            <v>SANTIAGO DE CHUCO</v>
          </cell>
          <cell r="D139">
            <v>9</v>
          </cell>
          <cell r="E139">
            <v>1</v>
          </cell>
          <cell r="F139">
            <v>4</v>
          </cell>
          <cell r="G139">
            <v>7</v>
          </cell>
          <cell r="H139">
            <v>9</v>
          </cell>
          <cell r="I139">
            <v>1.2857142857142858</v>
          </cell>
          <cell r="J139">
            <v>1</v>
          </cell>
        </row>
        <row r="140">
          <cell r="C140" t="str">
            <v>TRUJILLO 1 (El Porvenir)</v>
          </cell>
          <cell r="D140">
            <v>19</v>
          </cell>
          <cell r="E140">
            <v>16</v>
          </cell>
          <cell r="F140">
            <v>13</v>
          </cell>
          <cell r="G140">
            <v>15</v>
          </cell>
          <cell r="H140">
            <v>19</v>
          </cell>
          <cell r="I140">
            <v>1.2666666666666666</v>
          </cell>
          <cell r="J140">
            <v>1</v>
          </cell>
        </row>
        <row r="141">
          <cell r="C141" t="str">
            <v>TRUJILLO 4 (Sur Este)</v>
          </cell>
          <cell r="D141">
            <v>20</v>
          </cell>
          <cell r="E141">
            <v>28</v>
          </cell>
          <cell r="F141">
            <v>5</v>
          </cell>
          <cell r="G141">
            <v>16</v>
          </cell>
          <cell r="H141">
            <v>20</v>
          </cell>
          <cell r="I141">
            <v>1.25</v>
          </cell>
          <cell r="J141">
            <v>1</v>
          </cell>
        </row>
        <row r="142">
          <cell r="C142" t="str">
            <v>CHICLAYO 1</v>
          </cell>
          <cell r="D142">
            <v>18</v>
          </cell>
          <cell r="E142">
            <v>21</v>
          </cell>
          <cell r="F142">
            <v>34</v>
          </cell>
          <cell r="G142">
            <v>14</v>
          </cell>
          <cell r="H142">
            <v>18</v>
          </cell>
          <cell r="I142">
            <v>1.2857142857142858</v>
          </cell>
          <cell r="J142">
            <v>1</v>
          </cell>
        </row>
        <row r="143">
          <cell r="C143" t="str">
            <v>CHICLAYO 2</v>
          </cell>
          <cell r="D143">
            <v>19</v>
          </cell>
          <cell r="E143">
            <v>34</v>
          </cell>
          <cell r="F143">
            <v>29</v>
          </cell>
          <cell r="G143">
            <v>15</v>
          </cell>
          <cell r="H143">
            <v>19</v>
          </cell>
          <cell r="I143">
            <v>1.2666666666666666</v>
          </cell>
          <cell r="J143">
            <v>1</v>
          </cell>
        </row>
        <row r="144">
          <cell r="C144" t="str">
            <v>CHICLAYO 3</v>
          </cell>
          <cell r="D144">
            <v>19</v>
          </cell>
          <cell r="E144">
            <v>40</v>
          </cell>
          <cell r="F144">
            <v>23</v>
          </cell>
          <cell r="G144">
            <v>15</v>
          </cell>
          <cell r="H144">
            <v>19</v>
          </cell>
          <cell r="I144">
            <v>1.2666666666666666</v>
          </cell>
          <cell r="J144">
            <v>1</v>
          </cell>
        </row>
        <row r="145">
          <cell r="C145" t="str">
            <v>CHICLAYO 4</v>
          </cell>
          <cell r="D145">
            <v>18</v>
          </cell>
          <cell r="E145">
            <v>36</v>
          </cell>
          <cell r="F145">
            <v>27</v>
          </cell>
          <cell r="G145">
            <v>14</v>
          </cell>
          <cell r="H145">
            <v>18</v>
          </cell>
          <cell r="I145">
            <v>1.2857142857142858</v>
          </cell>
          <cell r="J145">
            <v>1</v>
          </cell>
        </row>
        <row r="146">
          <cell r="C146" t="str">
            <v>FERREÑAFE</v>
          </cell>
          <cell r="D146">
            <v>9</v>
          </cell>
          <cell r="E146">
            <v>17</v>
          </cell>
          <cell r="F146">
            <v>13</v>
          </cell>
          <cell r="G146">
            <v>7</v>
          </cell>
          <cell r="H146">
            <v>9</v>
          </cell>
          <cell r="I146">
            <v>1.2857142857142858</v>
          </cell>
          <cell r="J146">
            <v>1</v>
          </cell>
        </row>
        <row r="147">
          <cell r="C147" t="str">
            <v>LAMBAYEQUE 1</v>
          </cell>
          <cell r="D147">
            <v>16</v>
          </cell>
          <cell r="E147">
            <v>18</v>
          </cell>
          <cell r="F147">
            <v>25</v>
          </cell>
          <cell r="G147">
            <v>12</v>
          </cell>
          <cell r="H147">
            <v>16</v>
          </cell>
          <cell r="I147">
            <v>1.3333333333333333</v>
          </cell>
          <cell r="J147">
            <v>1</v>
          </cell>
        </row>
        <row r="148">
          <cell r="C148" t="str">
            <v>LAMBAYEQUE 2</v>
          </cell>
          <cell r="D148">
            <v>16</v>
          </cell>
          <cell r="E148">
            <v>4</v>
          </cell>
          <cell r="F148">
            <v>15</v>
          </cell>
          <cell r="G148">
            <v>12</v>
          </cell>
          <cell r="H148">
            <v>16</v>
          </cell>
          <cell r="I148">
            <v>1.3333333333333333</v>
          </cell>
          <cell r="J148">
            <v>1</v>
          </cell>
        </row>
        <row r="149">
          <cell r="C149" t="str">
            <v>LAMBAYEQUE 3</v>
          </cell>
          <cell r="D149">
            <v>11</v>
          </cell>
          <cell r="E149">
            <v>12</v>
          </cell>
          <cell r="F149">
            <v>10</v>
          </cell>
          <cell r="G149">
            <v>8</v>
          </cell>
          <cell r="H149">
            <v>11</v>
          </cell>
          <cell r="I149">
            <v>1.375</v>
          </cell>
          <cell r="J149">
            <v>1</v>
          </cell>
        </row>
        <row r="150">
          <cell r="C150" t="str">
            <v>LURIN</v>
          </cell>
          <cell r="D150">
            <v>9</v>
          </cell>
          <cell r="E150">
            <v>5</v>
          </cell>
          <cell r="F150">
            <v>2</v>
          </cell>
          <cell r="G150">
            <v>7</v>
          </cell>
          <cell r="H150">
            <v>9</v>
          </cell>
          <cell r="I150">
            <v>1.2857142857142858</v>
          </cell>
          <cell r="J150">
            <v>1</v>
          </cell>
        </row>
        <row r="151">
          <cell r="C151" t="str">
            <v>PACHACAMAC</v>
          </cell>
          <cell r="D151">
            <v>9</v>
          </cell>
          <cell r="E151">
            <v>1</v>
          </cell>
          <cell r="F151">
            <v>3</v>
          </cell>
          <cell r="G151">
            <v>7</v>
          </cell>
          <cell r="H151">
            <v>9</v>
          </cell>
          <cell r="I151">
            <v>1.2857142857142858</v>
          </cell>
          <cell r="J151">
            <v>1</v>
          </cell>
        </row>
        <row r="152">
          <cell r="C152" t="str">
            <v>SAN BARTOLO</v>
          </cell>
          <cell r="D152">
            <v>4</v>
          </cell>
          <cell r="E152">
            <v>2</v>
          </cell>
          <cell r="F152">
            <v>3</v>
          </cell>
          <cell r="G152">
            <v>3</v>
          </cell>
          <cell r="H152">
            <v>4</v>
          </cell>
          <cell r="I152">
            <v>1.3333333333333333</v>
          </cell>
          <cell r="J152">
            <v>1</v>
          </cell>
        </row>
        <row r="153">
          <cell r="C153" t="str">
            <v>SAN JUAN DE MIRAFLORES 1</v>
          </cell>
          <cell r="D153">
            <v>13</v>
          </cell>
          <cell r="E153">
            <v>8</v>
          </cell>
          <cell r="F153">
            <v>9</v>
          </cell>
          <cell r="G153">
            <v>10</v>
          </cell>
          <cell r="H153">
            <v>13</v>
          </cell>
          <cell r="I153">
            <v>1.3</v>
          </cell>
          <cell r="J153">
            <v>1</v>
          </cell>
        </row>
        <row r="154">
          <cell r="C154" t="str">
            <v>SAN JUAN DE MIRAFLORES 2</v>
          </cell>
          <cell r="D154">
            <v>16</v>
          </cell>
          <cell r="E154">
            <v>2</v>
          </cell>
          <cell r="F154">
            <v>11</v>
          </cell>
          <cell r="G154">
            <v>12</v>
          </cell>
          <cell r="H154">
            <v>16</v>
          </cell>
          <cell r="I154">
            <v>1.3333333333333333</v>
          </cell>
          <cell r="J154">
            <v>1</v>
          </cell>
        </row>
        <row r="155">
          <cell r="C155" t="str">
            <v>VILLA EL SALVADOR 1</v>
          </cell>
          <cell r="D155">
            <v>15</v>
          </cell>
          <cell r="E155">
            <v>3</v>
          </cell>
          <cell r="F155">
            <v>6</v>
          </cell>
          <cell r="G155">
            <v>11</v>
          </cell>
          <cell r="H155">
            <v>15</v>
          </cell>
          <cell r="I155">
            <v>1.3636363636363635</v>
          </cell>
          <cell r="J155">
            <v>1</v>
          </cell>
        </row>
        <row r="156">
          <cell r="C156" t="str">
            <v>VILLA EL SALVADOR 2</v>
          </cell>
          <cell r="D156">
            <v>18</v>
          </cell>
          <cell r="E156">
            <v>7</v>
          </cell>
          <cell r="F156">
            <v>12</v>
          </cell>
          <cell r="G156">
            <v>14</v>
          </cell>
          <cell r="H156">
            <v>18</v>
          </cell>
          <cell r="I156">
            <v>1.2857142857142858</v>
          </cell>
          <cell r="J156">
            <v>1</v>
          </cell>
        </row>
        <row r="157">
          <cell r="C157" t="str">
            <v>VILLA MARIA DEL TRIUNFO 1</v>
          </cell>
          <cell r="D157">
            <v>18</v>
          </cell>
          <cell r="E157">
            <v>16</v>
          </cell>
          <cell r="F157">
            <v>11</v>
          </cell>
          <cell r="G157">
            <v>14</v>
          </cell>
          <cell r="H157">
            <v>18</v>
          </cell>
          <cell r="I157">
            <v>1.2857142857142858</v>
          </cell>
          <cell r="J157">
            <v>1</v>
          </cell>
        </row>
        <row r="158">
          <cell r="C158" t="str">
            <v>VILLA MARIA DEL TRIUNFO 2</v>
          </cell>
          <cell r="D158">
            <v>15</v>
          </cell>
          <cell r="F158">
            <v>7</v>
          </cell>
          <cell r="G158">
            <v>12</v>
          </cell>
          <cell r="H158">
            <v>16</v>
          </cell>
          <cell r="I158">
            <v>1.25</v>
          </cell>
          <cell r="J158">
            <v>0.9375</v>
          </cell>
        </row>
        <row r="159">
          <cell r="C159" t="str">
            <v>INDEPENDENCIA</v>
          </cell>
          <cell r="D159">
            <v>14</v>
          </cell>
          <cell r="F159">
            <v>11</v>
          </cell>
          <cell r="G159">
            <v>11</v>
          </cell>
          <cell r="H159">
            <v>15</v>
          </cell>
          <cell r="I159">
            <v>1.2727272727272727</v>
          </cell>
          <cell r="J159">
            <v>0.93333333333333335</v>
          </cell>
        </row>
        <row r="160">
          <cell r="C160" t="str">
            <v>LOS OLIVOS 1</v>
          </cell>
          <cell r="D160">
            <v>15</v>
          </cell>
          <cell r="E160">
            <v>9</v>
          </cell>
          <cell r="F160">
            <v>13</v>
          </cell>
          <cell r="G160">
            <v>11</v>
          </cell>
          <cell r="H160">
            <v>15</v>
          </cell>
          <cell r="I160">
            <v>1.3636363636363635</v>
          </cell>
          <cell r="J160">
            <v>1</v>
          </cell>
        </row>
        <row r="161">
          <cell r="C161" t="str">
            <v>LOS OLIVOS 2</v>
          </cell>
          <cell r="D161">
            <v>15</v>
          </cell>
          <cell r="E161">
            <v>16</v>
          </cell>
          <cell r="F161">
            <v>19</v>
          </cell>
          <cell r="G161">
            <v>11</v>
          </cell>
          <cell r="H161">
            <v>15</v>
          </cell>
          <cell r="I161">
            <v>1.3636363636363635</v>
          </cell>
          <cell r="J161">
            <v>1</v>
          </cell>
        </row>
        <row r="162">
          <cell r="C162" t="str">
            <v>RIMAC</v>
          </cell>
          <cell r="D162">
            <v>12</v>
          </cell>
          <cell r="E162">
            <v>5</v>
          </cell>
          <cell r="F162">
            <v>2</v>
          </cell>
          <cell r="G162">
            <v>9</v>
          </cell>
          <cell r="H162">
            <v>12</v>
          </cell>
          <cell r="I162">
            <v>1.3333333333333333</v>
          </cell>
          <cell r="J162">
            <v>1</v>
          </cell>
        </row>
        <row r="163">
          <cell r="C163" t="str">
            <v>SAN MARTIN DE PORRES 1</v>
          </cell>
          <cell r="D163">
            <v>14</v>
          </cell>
          <cell r="F163">
            <v>5</v>
          </cell>
          <cell r="G163">
            <v>11</v>
          </cell>
          <cell r="H163">
            <v>15</v>
          </cell>
          <cell r="I163">
            <v>1.2727272727272727</v>
          </cell>
          <cell r="J163">
            <v>0.93333333333333335</v>
          </cell>
        </row>
        <row r="164">
          <cell r="C164" t="str">
            <v>SAN MARTIN DE PORRES 2</v>
          </cell>
          <cell r="D164">
            <v>15</v>
          </cell>
          <cell r="E164">
            <v>8</v>
          </cell>
          <cell r="F164">
            <v>9</v>
          </cell>
          <cell r="G164">
            <v>11</v>
          </cell>
          <cell r="H164">
            <v>15</v>
          </cell>
          <cell r="I164">
            <v>1.3636363636363635</v>
          </cell>
          <cell r="J164">
            <v>1</v>
          </cell>
        </row>
        <row r="165">
          <cell r="C165" t="str">
            <v>SAN MARTIN DE PORRES 3</v>
          </cell>
          <cell r="D165">
            <v>17</v>
          </cell>
          <cell r="E165">
            <v>5</v>
          </cell>
          <cell r="F165">
            <v>9</v>
          </cell>
          <cell r="G165">
            <v>13</v>
          </cell>
          <cell r="H165">
            <v>17</v>
          </cell>
          <cell r="I165">
            <v>1.3076923076923077</v>
          </cell>
          <cell r="J165">
            <v>1</v>
          </cell>
        </row>
        <row r="166">
          <cell r="C166" t="str">
            <v>BREÑA</v>
          </cell>
          <cell r="D166">
            <v>7</v>
          </cell>
          <cell r="E166">
            <v>10</v>
          </cell>
          <cell r="F166">
            <v>9</v>
          </cell>
          <cell r="G166">
            <v>5</v>
          </cell>
          <cell r="H166">
            <v>7</v>
          </cell>
          <cell r="I166">
            <v>1.4</v>
          </cell>
          <cell r="J166">
            <v>1</v>
          </cell>
        </row>
        <row r="167">
          <cell r="C167" t="str">
            <v>JESUS MARIA-SAN ISIDRO-LINCE</v>
          </cell>
          <cell r="D167">
            <v>11</v>
          </cell>
          <cell r="E167">
            <v>9</v>
          </cell>
          <cell r="F167">
            <v>13</v>
          </cell>
          <cell r="G167">
            <v>8</v>
          </cell>
          <cell r="H167">
            <v>11</v>
          </cell>
          <cell r="I167">
            <v>1.375</v>
          </cell>
          <cell r="J167">
            <v>1</v>
          </cell>
        </row>
        <row r="168">
          <cell r="C168" t="str">
            <v>LA VICTORIA</v>
          </cell>
          <cell r="D168">
            <v>11</v>
          </cell>
          <cell r="F168">
            <v>4</v>
          </cell>
          <cell r="G168">
            <v>9</v>
          </cell>
          <cell r="H168">
            <v>12</v>
          </cell>
          <cell r="I168">
            <v>1.2222222222222223</v>
          </cell>
          <cell r="J168">
            <v>0.91666666666666663</v>
          </cell>
        </row>
        <row r="169">
          <cell r="C169" t="str">
            <v>LIMA</v>
          </cell>
          <cell r="D169">
            <v>18</v>
          </cell>
          <cell r="E169">
            <v>23</v>
          </cell>
          <cell r="F169">
            <v>6</v>
          </cell>
          <cell r="G169">
            <v>14</v>
          </cell>
          <cell r="H169">
            <v>18</v>
          </cell>
          <cell r="I169">
            <v>1.2857142857142858</v>
          </cell>
          <cell r="J169">
            <v>1</v>
          </cell>
        </row>
        <row r="170">
          <cell r="C170" t="str">
            <v>PUEBLO LIBRE-MAGDALENA DEL MAR</v>
          </cell>
          <cell r="D170">
            <v>8</v>
          </cell>
          <cell r="E170">
            <v>13</v>
          </cell>
          <cell r="F170">
            <v>12</v>
          </cell>
          <cell r="G170">
            <v>6</v>
          </cell>
          <cell r="H170">
            <v>8</v>
          </cell>
          <cell r="I170">
            <v>1.3333333333333333</v>
          </cell>
          <cell r="J170">
            <v>1</v>
          </cell>
        </row>
        <row r="171">
          <cell r="C171" t="str">
            <v>SAN MIGUEL</v>
          </cell>
          <cell r="D171">
            <v>9</v>
          </cell>
          <cell r="E171">
            <v>9</v>
          </cell>
          <cell r="F171">
            <v>7</v>
          </cell>
          <cell r="G171">
            <v>7</v>
          </cell>
          <cell r="H171">
            <v>9</v>
          </cell>
          <cell r="I171">
            <v>1.2857142857142858</v>
          </cell>
          <cell r="J171">
            <v>1</v>
          </cell>
        </row>
        <row r="172">
          <cell r="C172" t="str">
            <v>ANCON</v>
          </cell>
          <cell r="D172">
            <v>8</v>
          </cell>
          <cell r="E172">
            <v>4</v>
          </cell>
          <cell r="F172">
            <v>5</v>
          </cell>
          <cell r="G172">
            <v>6</v>
          </cell>
          <cell r="H172">
            <v>8</v>
          </cell>
          <cell r="I172">
            <v>1.3333333333333333</v>
          </cell>
          <cell r="J172">
            <v>1</v>
          </cell>
        </row>
        <row r="173">
          <cell r="C173" t="str">
            <v>CARABAYLLO 1-CANTA</v>
          </cell>
          <cell r="D173">
            <v>13</v>
          </cell>
          <cell r="E173">
            <v>9</v>
          </cell>
          <cell r="F173">
            <v>11</v>
          </cell>
          <cell r="G173">
            <v>10</v>
          </cell>
          <cell r="H173">
            <v>13</v>
          </cell>
          <cell r="I173">
            <v>1.3</v>
          </cell>
          <cell r="J173">
            <v>1</v>
          </cell>
        </row>
        <row r="174">
          <cell r="C174" t="str">
            <v>CARABAYLLO 2</v>
          </cell>
          <cell r="D174">
            <v>16</v>
          </cell>
          <cell r="E174">
            <v>7</v>
          </cell>
          <cell r="F174">
            <v>8</v>
          </cell>
          <cell r="G174">
            <v>12</v>
          </cell>
          <cell r="H174">
            <v>16</v>
          </cell>
          <cell r="I174">
            <v>1.3333333333333333</v>
          </cell>
          <cell r="J174">
            <v>1</v>
          </cell>
        </row>
        <row r="175">
          <cell r="C175" t="str">
            <v>COMAS 1</v>
          </cell>
          <cell r="D175">
            <v>18</v>
          </cell>
          <cell r="E175">
            <v>21</v>
          </cell>
          <cell r="F175">
            <v>15</v>
          </cell>
          <cell r="G175">
            <v>14</v>
          </cell>
          <cell r="H175">
            <v>18</v>
          </cell>
          <cell r="I175">
            <v>1.2857142857142858</v>
          </cell>
          <cell r="J175">
            <v>1</v>
          </cell>
        </row>
        <row r="176">
          <cell r="C176" t="str">
            <v>COMAS 2</v>
          </cell>
          <cell r="D176">
            <v>19</v>
          </cell>
          <cell r="E176">
            <v>20</v>
          </cell>
          <cell r="F176">
            <v>7</v>
          </cell>
          <cell r="G176">
            <v>15</v>
          </cell>
          <cell r="H176">
            <v>19</v>
          </cell>
          <cell r="I176">
            <v>1.2666666666666666</v>
          </cell>
          <cell r="J176">
            <v>1</v>
          </cell>
        </row>
        <row r="177">
          <cell r="C177" t="str">
            <v>PUENTE PIEDRA 1</v>
          </cell>
          <cell r="D177">
            <v>15</v>
          </cell>
          <cell r="E177">
            <v>8</v>
          </cell>
          <cell r="F177">
            <v>12</v>
          </cell>
          <cell r="G177">
            <v>11</v>
          </cell>
          <cell r="H177">
            <v>15</v>
          </cell>
          <cell r="I177">
            <v>1.3636363636363635</v>
          </cell>
          <cell r="J177">
            <v>1</v>
          </cell>
        </row>
        <row r="178">
          <cell r="C178" t="str">
            <v>PUENTE PIEDRA 2-SANTA ROSA</v>
          </cell>
          <cell r="D178">
            <v>12</v>
          </cell>
          <cell r="F178">
            <v>4</v>
          </cell>
          <cell r="G178">
            <v>10</v>
          </cell>
          <cell r="H178">
            <v>13</v>
          </cell>
          <cell r="I178">
            <v>1.2</v>
          </cell>
          <cell r="J178">
            <v>0.92307692307692313</v>
          </cell>
        </row>
        <row r="179">
          <cell r="C179" t="str">
            <v>EL AGUSTINO</v>
          </cell>
          <cell r="D179">
            <v>12</v>
          </cell>
          <cell r="E179">
            <v>4</v>
          </cell>
          <cell r="F179">
            <v>3</v>
          </cell>
          <cell r="G179">
            <v>9</v>
          </cell>
          <cell r="H179">
            <v>12</v>
          </cell>
          <cell r="I179">
            <v>1.3333333333333333</v>
          </cell>
          <cell r="J179">
            <v>1</v>
          </cell>
        </row>
        <row r="180">
          <cell r="C180" t="str">
            <v>SAN JUAN DE LURIGANCHO 1</v>
          </cell>
          <cell r="D180">
            <v>13</v>
          </cell>
          <cell r="E180">
            <v>12</v>
          </cell>
          <cell r="F180">
            <v>4</v>
          </cell>
          <cell r="G180">
            <v>10</v>
          </cell>
          <cell r="H180">
            <v>13</v>
          </cell>
          <cell r="I180">
            <v>1.3</v>
          </cell>
          <cell r="J180">
            <v>1</v>
          </cell>
        </row>
        <row r="181">
          <cell r="C181" t="str">
            <v>SAN JUAN DE LURIGANCHO 2</v>
          </cell>
          <cell r="D181">
            <v>13</v>
          </cell>
          <cell r="E181">
            <v>7</v>
          </cell>
          <cell r="F181">
            <v>3</v>
          </cell>
          <cell r="G181">
            <v>10</v>
          </cell>
          <cell r="H181">
            <v>13</v>
          </cell>
          <cell r="I181">
            <v>1.3</v>
          </cell>
          <cell r="J181">
            <v>1</v>
          </cell>
        </row>
        <row r="182">
          <cell r="C182" t="str">
            <v>SAN JUAN DE LURIGANCHO 3</v>
          </cell>
          <cell r="D182">
            <v>15</v>
          </cell>
          <cell r="E182">
            <v>4</v>
          </cell>
          <cell r="F182">
            <v>6</v>
          </cell>
          <cell r="G182">
            <v>11</v>
          </cell>
          <cell r="H182">
            <v>15</v>
          </cell>
          <cell r="I182">
            <v>1.3636363636363635</v>
          </cell>
          <cell r="J182">
            <v>1</v>
          </cell>
        </row>
        <row r="183">
          <cell r="C183" t="str">
            <v>SAN JUAN DE LURIGANCHO 4</v>
          </cell>
          <cell r="D183">
            <v>12</v>
          </cell>
          <cell r="E183">
            <v>7</v>
          </cell>
          <cell r="F183">
            <v>3</v>
          </cell>
          <cell r="G183">
            <v>9</v>
          </cell>
          <cell r="H183">
            <v>12</v>
          </cell>
          <cell r="I183">
            <v>1.3333333333333333</v>
          </cell>
          <cell r="J183">
            <v>1</v>
          </cell>
        </row>
        <row r="184">
          <cell r="C184" t="str">
            <v>SAN JUAN DE LURIGANCHO 5</v>
          </cell>
          <cell r="D184">
            <v>16</v>
          </cell>
          <cell r="E184">
            <v>25</v>
          </cell>
          <cell r="F184">
            <v>9</v>
          </cell>
          <cell r="G184">
            <v>12</v>
          </cell>
          <cell r="H184">
            <v>16</v>
          </cell>
          <cell r="I184">
            <v>1.3333333333333333</v>
          </cell>
          <cell r="J184">
            <v>1</v>
          </cell>
        </row>
        <row r="185">
          <cell r="C185" t="str">
            <v>SAN JUAN DE LURIGANCHO 6</v>
          </cell>
          <cell r="D185">
            <v>13</v>
          </cell>
          <cell r="E185">
            <v>1</v>
          </cell>
          <cell r="F185">
            <v>5</v>
          </cell>
          <cell r="G185">
            <v>10</v>
          </cell>
          <cell r="H185">
            <v>13</v>
          </cell>
          <cell r="I185">
            <v>1.3</v>
          </cell>
          <cell r="J185">
            <v>1</v>
          </cell>
        </row>
        <row r="186">
          <cell r="C186" t="str">
            <v>ATE 1</v>
          </cell>
          <cell r="D186">
            <v>17</v>
          </cell>
          <cell r="E186">
            <v>5</v>
          </cell>
          <cell r="F186">
            <v>8</v>
          </cell>
          <cell r="G186">
            <v>13</v>
          </cell>
          <cell r="H186">
            <v>17</v>
          </cell>
          <cell r="I186">
            <v>1.3076923076923077</v>
          </cell>
          <cell r="J186">
            <v>1</v>
          </cell>
        </row>
        <row r="187">
          <cell r="C187" t="str">
            <v>ATE 2</v>
          </cell>
          <cell r="D187">
            <v>13</v>
          </cell>
          <cell r="E187">
            <v>2</v>
          </cell>
          <cell r="F187">
            <v>7</v>
          </cell>
          <cell r="G187">
            <v>10</v>
          </cell>
          <cell r="H187">
            <v>13</v>
          </cell>
          <cell r="I187">
            <v>1.3</v>
          </cell>
          <cell r="J187">
            <v>1</v>
          </cell>
        </row>
        <row r="188">
          <cell r="C188" t="str">
            <v>ATE 3</v>
          </cell>
          <cell r="D188">
            <v>18</v>
          </cell>
          <cell r="E188">
            <v>5</v>
          </cell>
          <cell r="F188">
            <v>11</v>
          </cell>
          <cell r="G188">
            <v>14</v>
          </cell>
          <cell r="H188">
            <v>18</v>
          </cell>
          <cell r="I188">
            <v>1.2857142857142858</v>
          </cell>
          <cell r="J188">
            <v>1</v>
          </cell>
        </row>
        <row r="189">
          <cell r="C189" t="str">
            <v>LA MOLINA-CIENEGUILLA</v>
          </cell>
          <cell r="D189">
            <v>14</v>
          </cell>
          <cell r="E189">
            <v>6</v>
          </cell>
          <cell r="F189">
            <v>4</v>
          </cell>
          <cell r="G189">
            <v>11</v>
          </cell>
          <cell r="H189">
            <v>15</v>
          </cell>
          <cell r="I189">
            <v>1.2727272727272727</v>
          </cell>
          <cell r="J189">
            <v>0.93333333333333335</v>
          </cell>
        </row>
        <row r="190">
          <cell r="C190" t="str">
            <v>LURIGANCHO 1</v>
          </cell>
          <cell r="D190">
            <v>15</v>
          </cell>
          <cell r="E190">
            <v>6</v>
          </cell>
          <cell r="F190">
            <v>9</v>
          </cell>
          <cell r="G190">
            <v>11</v>
          </cell>
          <cell r="H190">
            <v>15</v>
          </cell>
          <cell r="I190">
            <v>1.3636363636363635</v>
          </cell>
          <cell r="J190">
            <v>1</v>
          </cell>
        </row>
        <row r="191">
          <cell r="C191" t="str">
            <v>LURIGANCHO 2</v>
          </cell>
          <cell r="D191">
            <v>12</v>
          </cell>
          <cell r="E191">
            <v>2</v>
          </cell>
          <cell r="F191">
            <v>1</v>
          </cell>
          <cell r="G191">
            <v>9</v>
          </cell>
          <cell r="H191">
            <v>12</v>
          </cell>
          <cell r="I191">
            <v>1.3333333333333333</v>
          </cell>
          <cell r="J191">
            <v>1</v>
          </cell>
        </row>
        <row r="192">
          <cell r="C192" t="str">
            <v>SANTA ANITA</v>
          </cell>
          <cell r="D192">
            <v>15</v>
          </cell>
          <cell r="E192">
            <v>2</v>
          </cell>
          <cell r="F192">
            <v>6</v>
          </cell>
          <cell r="G192">
            <v>11</v>
          </cell>
          <cell r="H192">
            <v>15</v>
          </cell>
          <cell r="I192">
            <v>1.3636363636363635</v>
          </cell>
          <cell r="J192">
            <v>1</v>
          </cell>
        </row>
        <row r="193">
          <cell r="C193" t="str">
            <v>BARRANCO</v>
          </cell>
          <cell r="D193">
            <v>6</v>
          </cell>
          <cell r="E193">
            <v>2</v>
          </cell>
          <cell r="F193">
            <v>3</v>
          </cell>
          <cell r="G193">
            <v>4</v>
          </cell>
          <cell r="H193">
            <v>6</v>
          </cell>
          <cell r="I193">
            <v>1.5</v>
          </cell>
          <cell r="J193">
            <v>1</v>
          </cell>
        </row>
        <row r="194">
          <cell r="C194" t="str">
            <v>CHORRILLOS</v>
          </cell>
          <cell r="D194">
            <v>23</v>
          </cell>
          <cell r="E194">
            <v>20</v>
          </cell>
          <cell r="F194">
            <v>12</v>
          </cell>
          <cell r="G194">
            <v>19</v>
          </cell>
          <cell r="H194">
            <v>23</v>
          </cell>
          <cell r="I194">
            <v>1.2105263157894737</v>
          </cell>
          <cell r="J194">
            <v>1</v>
          </cell>
        </row>
        <row r="195">
          <cell r="C195" t="str">
            <v>MIRAFLORES-SURQUILLO</v>
          </cell>
          <cell r="D195">
            <v>9</v>
          </cell>
          <cell r="E195">
            <v>3</v>
          </cell>
          <cell r="F195">
            <v>5</v>
          </cell>
          <cell r="G195">
            <v>7</v>
          </cell>
          <cell r="H195">
            <v>9</v>
          </cell>
          <cell r="I195">
            <v>1.2857142857142858</v>
          </cell>
          <cell r="J195">
            <v>1</v>
          </cell>
        </row>
        <row r="196">
          <cell r="C196" t="str">
            <v>SAN BORJA-SAN LUIS</v>
          </cell>
          <cell r="D196">
            <v>9</v>
          </cell>
          <cell r="E196">
            <v>7</v>
          </cell>
          <cell r="F196">
            <v>7</v>
          </cell>
          <cell r="G196">
            <v>7</v>
          </cell>
          <cell r="H196">
            <v>9</v>
          </cell>
          <cell r="I196">
            <v>1.2857142857142858</v>
          </cell>
          <cell r="J196">
            <v>1</v>
          </cell>
        </row>
        <row r="197">
          <cell r="C197" t="str">
            <v>SANTIAGO DE SURCO</v>
          </cell>
          <cell r="D197">
            <v>15</v>
          </cell>
          <cell r="E197">
            <v>10</v>
          </cell>
          <cell r="F197">
            <v>10</v>
          </cell>
          <cell r="G197">
            <v>11</v>
          </cell>
          <cell r="H197">
            <v>15</v>
          </cell>
          <cell r="I197">
            <v>1.3636363636363635</v>
          </cell>
          <cell r="J197">
            <v>1</v>
          </cell>
        </row>
        <row r="198">
          <cell r="C198" t="str">
            <v>CAÑETE 1</v>
          </cell>
          <cell r="D198">
            <v>13</v>
          </cell>
          <cell r="E198">
            <v>7</v>
          </cell>
          <cell r="F198">
            <v>3</v>
          </cell>
          <cell r="G198">
            <v>10</v>
          </cell>
          <cell r="H198">
            <v>13</v>
          </cell>
          <cell r="I198">
            <v>1.3</v>
          </cell>
          <cell r="J198">
            <v>1</v>
          </cell>
        </row>
        <row r="199">
          <cell r="C199" t="str">
            <v>CAÑETE 2</v>
          </cell>
          <cell r="D199">
            <v>15</v>
          </cell>
          <cell r="E199">
            <v>15</v>
          </cell>
          <cell r="F199">
            <v>3</v>
          </cell>
          <cell r="G199">
            <v>11</v>
          </cell>
          <cell r="H199">
            <v>15</v>
          </cell>
          <cell r="I199">
            <v>1.3636363636363635</v>
          </cell>
          <cell r="J199">
            <v>1</v>
          </cell>
        </row>
        <row r="200">
          <cell r="C200" t="str">
            <v>HUAROCHIRI</v>
          </cell>
          <cell r="D200">
            <v>4</v>
          </cell>
          <cell r="E200">
            <v>1</v>
          </cell>
          <cell r="F200">
            <v>2</v>
          </cell>
          <cell r="G200">
            <v>3</v>
          </cell>
          <cell r="H200">
            <v>4</v>
          </cell>
          <cell r="I200">
            <v>1.3333333333333333</v>
          </cell>
          <cell r="J200">
            <v>1</v>
          </cell>
        </row>
        <row r="201">
          <cell r="C201" t="str">
            <v>YAUYOS</v>
          </cell>
          <cell r="D201">
            <v>4</v>
          </cell>
          <cell r="E201">
            <v>4</v>
          </cell>
          <cell r="F201">
            <v>6</v>
          </cell>
          <cell r="G201">
            <v>3</v>
          </cell>
          <cell r="H201">
            <v>4</v>
          </cell>
          <cell r="I201">
            <v>1.3333333333333333</v>
          </cell>
          <cell r="J201">
            <v>1</v>
          </cell>
        </row>
        <row r="202">
          <cell r="C202" t="str">
            <v>BARRANCA-OCROS-CAJATAMBO</v>
          </cell>
          <cell r="D202">
            <v>17</v>
          </cell>
          <cell r="E202">
            <v>10</v>
          </cell>
          <cell r="F202">
            <v>10</v>
          </cell>
          <cell r="G202">
            <v>13</v>
          </cell>
          <cell r="H202">
            <v>17</v>
          </cell>
          <cell r="I202">
            <v>1.3076923076923077</v>
          </cell>
          <cell r="J202">
            <v>1</v>
          </cell>
        </row>
        <row r="203">
          <cell r="C203" t="str">
            <v>HUARAL</v>
          </cell>
          <cell r="D203">
            <v>18</v>
          </cell>
          <cell r="E203">
            <v>1</v>
          </cell>
          <cell r="F203">
            <v>8</v>
          </cell>
          <cell r="G203">
            <v>14</v>
          </cell>
          <cell r="H203">
            <v>18</v>
          </cell>
          <cell r="I203">
            <v>1.2857142857142858</v>
          </cell>
          <cell r="J203">
            <v>1</v>
          </cell>
        </row>
        <row r="204">
          <cell r="C204" t="str">
            <v>HUAURA 1</v>
          </cell>
          <cell r="D204">
            <v>11</v>
          </cell>
          <cell r="E204">
            <v>8</v>
          </cell>
          <cell r="F204">
            <v>4</v>
          </cell>
          <cell r="G204">
            <v>8</v>
          </cell>
          <cell r="H204">
            <v>11</v>
          </cell>
          <cell r="I204">
            <v>1.375</v>
          </cell>
          <cell r="J204">
            <v>1</v>
          </cell>
        </row>
        <row r="205">
          <cell r="C205" t="str">
            <v>HUAURA 2</v>
          </cell>
          <cell r="D205">
            <v>13</v>
          </cell>
          <cell r="E205">
            <v>17</v>
          </cell>
          <cell r="F205">
            <v>11</v>
          </cell>
          <cell r="G205">
            <v>10</v>
          </cell>
          <cell r="H205">
            <v>13</v>
          </cell>
          <cell r="I205">
            <v>1.3</v>
          </cell>
          <cell r="J205">
            <v>1</v>
          </cell>
        </row>
        <row r="206">
          <cell r="C206" t="str">
            <v>OYON</v>
          </cell>
          <cell r="D206">
            <v>4</v>
          </cell>
          <cell r="E206">
            <v>2</v>
          </cell>
          <cell r="F206">
            <v>4</v>
          </cell>
          <cell r="G206">
            <v>3</v>
          </cell>
          <cell r="H206">
            <v>4</v>
          </cell>
          <cell r="I206">
            <v>1.3333333333333333</v>
          </cell>
          <cell r="J206">
            <v>1</v>
          </cell>
        </row>
        <row r="207">
          <cell r="C207" t="str">
            <v>LORETO</v>
          </cell>
          <cell r="D207">
            <v>16</v>
          </cell>
          <cell r="E207">
            <v>11</v>
          </cell>
          <cell r="F207">
            <v>4</v>
          </cell>
          <cell r="G207">
            <v>12</v>
          </cell>
          <cell r="H207">
            <v>16</v>
          </cell>
          <cell r="I207">
            <v>1.3333333333333333</v>
          </cell>
          <cell r="J207">
            <v>1</v>
          </cell>
        </row>
        <row r="208">
          <cell r="C208" t="str">
            <v>MARISCAL RAMON CASTILLA</v>
          </cell>
          <cell r="D208">
            <v>12</v>
          </cell>
          <cell r="F208">
            <v>12</v>
          </cell>
          <cell r="G208">
            <v>9</v>
          </cell>
          <cell r="H208">
            <v>12</v>
          </cell>
          <cell r="I208">
            <v>1.3333333333333333</v>
          </cell>
          <cell r="J208">
            <v>1</v>
          </cell>
        </row>
        <row r="209">
          <cell r="C209" t="str">
            <v>MAYNAS 1 (IQUITOS)</v>
          </cell>
          <cell r="D209">
            <v>19</v>
          </cell>
          <cell r="E209">
            <v>7</v>
          </cell>
          <cell r="F209">
            <v>11</v>
          </cell>
          <cell r="G209">
            <v>15</v>
          </cell>
          <cell r="H209">
            <v>19</v>
          </cell>
          <cell r="I209">
            <v>1.2666666666666666</v>
          </cell>
          <cell r="J209">
            <v>1</v>
          </cell>
        </row>
        <row r="210">
          <cell r="C210" t="str">
            <v>MAYNAS 2 (San Juan Bautista)</v>
          </cell>
          <cell r="D210">
            <v>20</v>
          </cell>
          <cell r="E210">
            <v>25</v>
          </cell>
          <cell r="F210">
            <v>7</v>
          </cell>
          <cell r="G210">
            <v>16</v>
          </cell>
          <cell r="H210">
            <v>20</v>
          </cell>
          <cell r="I210">
            <v>1.25</v>
          </cell>
          <cell r="J210">
            <v>1</v>
          </cell>
        </row>
        <row r="211">
          <cell r="C211" t="str">
            <v>MAYNAS 3 (PUNCHANA)</v>
          </cell>
          <cell r="D211">
            <v>20</v>
          </cell>
          <cell r="E211">
            <v>9</v>
          </cell>
          <cell r="F211">
            <v>20</v>
          </cell>
          <cell r="G211">
            <v>16</v>
          </cell>
          <cell r="H211">
            <v>20</v>
          </cell>
          <cell r="I211">
            <v>1.25</v>
          </cell>
          <cell r="J211">
            <v>1</v>
          </cell>
        </row>
        <row r="212">
          <cell r="C212" t="str">
            <v>REQUENA</v>
          </cell>
          <cell r="D212">
            <v>15</v>
          </cell>
          <cell r="E212">
            <v>7</v>
          </cell>
          <cell r="F212">
            <v>8</v>
          </cell>
          <cell r="G212">
            <v>11</v>
          </cell>
          <cell r="H212">
            <v>15</v>
          </cell>
          <cell r="I212">
            <v>1.3636363636363635</v>
          </cell>
          <cell r="J212">
            <v>1</v>
          </cell>
        </row>
        <row r="213">
          <cell r="C213" t="str">
            <v>TAMBOPATA 1</v>
          </cell>
          <cell r="D213">
            <v>15</v>
          </cell>
          <cell r="E213">
            <v>2</v>
          </cell>
          <cell r="F213">
            <v>9</v>
          </cell>
          <cell r="G213">
            <v>11</v>
          </cell>
          <cell r="H213">
            <v>15</v>
          </cell>
          <cell r="I213">
            <v>1.3636363636363635</v>
          </cell>
          <cell r="J213">
            <v>1</v>
          </cell>
        </row>
        <row r="214">
          <cell r="C214" t="str">
            <v>TAMBOPATA 2-TAHUAMANU</v>
          </cell>
          <cell r="D214">
            <v>15</v>
          </cell>
          <cell r="E214">
            <v>2</v>
          </cell>
          <cell r="F214">
            <v>2</v>
          </cell>
          <cell r="G214">
            <v>11</v>
          </cell>
          <cell r="H214">
            <v>15</v>
          </cell>
          <cell r="I214">
            <v>1.3636363636363635</v>
          </cell>
          <cell r="J214">
            <v>1</v>
          </cell>
        </row>
        <row r="215">
          <cell r="C215" t="str">
            <v>GENERAL SANCHEZ CERRO</v>
          </cell>
          <cell r="D215">
            <v>3</v>
          </cell>
          <cell r="E215">
            <v>3</v>
          </cell>
          <cell r="G215">
            <v>2</v>
          </cell>
          <cell r="H215">
            <v>3</v>
          </cell>
          <cell r="I215">
            <v>1.5</v>
          </cell>
          <cell r="J215">
            <v>1</v>
          </cell>
        </row>
        <row r="216">
          <cell r="C216" t="str">
            <v>ILO</v>
          </cell>
          <cell r="D216">
            <v>9</v>
          </cell>
          <cell r="E216">
            <v>11</v>
          </cell>
          <cell r="F216">
            <v>11</v>
          </cell>
          <cell r="G216">
            <v>7</v>
          </cell>
          <cell r="H216">
            <v>9</v>
          </cell>
          <cell r="I216">
            <v>1.2857142857142858</v>
          </cell>
          <cell r="J216">
            <v>1</v>
          </cell>
        </row>
        <row r="217">
          <cell r="C217" t="str">
            <v>MARISCAL NIETO</v>
          </cell>
          <cell r="D217">
            <v>11</v>
          </cell>
          <cell r="E217">
            <v>13</v>
          </cell>
          <cell r="F217">
            <v>5</v>
          </cell>
          <cell r="G217">
            <v>8</v>
          </cell>
          <cell r="H217">
            <v>11</v>
          </cell>
          <cell r="I217">
            <v>1.375</v>
          </cell>
          <cell r="J217">
            <v>1</v>
          </cell>
        </row>
        <row r="218">
          <cell r="C218" t="str">
            <v>DANIEL ALCIDES CARRION</v>
          </cell>
          <cell r="D218">
            <v>4</v>
          </cell>
          <cell r="E218">
            <v>8</v>
          </cell>
          <cell r="F218">
            <v>3</v>
          </cell>
          <cell r="G218">
            <v>3</v>
          </cell>
          <cell r="H218">
            <v>4</v>
          </cell>
          <cell r="I218">
            <v>1.3333333333333333</v>
          </cell>
          <cell r="J218">
            <v>1</v>
          </cell>
        </row>
        <row r="219">
          <cell r="C219" t="str">
            <v>OXAPAMPA (OXAPAMPA)</v>
          </cell>
          <cell r="D219">
            <v>8</v>
          </cell>
          <cell r="E219">
            <v>12</v>
          </cell>
          <cell r="F219">
            <v>14</v>
          </cell>
          <cell r="G219">
            <v>6</v>
          </cell>
          <cell r="H219">
            <v>8</v>
          </cell>
          <cell r="I219">
            <v>1.3333333333333333</v>
          </cell>
          <cell r="J219">
            <v>1</v>
          </cell>
        </row>
        <row r="220">
          <cell r="C220" t="str">
            <v>OXAPAMPA (Puerto Bermudez)</v>
          </cell>
          <cell r="D220">
            <v>13</v>
          </cell>
          <cell r="E220">
            <v>4</v>
          </cell>
          <cell r="F220">
            <v>16</v>
          </cell>
          <cell r="G220">
            <v>10</v>
          </cell>
          <cell r="H220">
            <v>13</v>
          </cell>
          <cell r="I220">
            <v>1.3</v>
          </cell>
          <cell r="J220">
            <v>1</v>
          </cell>
        </row>
        <row r="221">
          <cell r="C221" t="str">
            <v>PASCO 1</v>
          </cell>
          <cell r="D221">
            <v>9</v>
          </cell>
          <cell r="E221">
            <v>15</v>
          </cell>
          <cell r="F221">
            <v>21</v>
          </cell>
          <cell r="G221">
            <v>7</v>
          </cell>
          <cell r="H221">
            <v>9</v>
          </cell>
          <cell r="I221">
            <v>1.2857142857142858</v>
          </cell>
          <cell r="J221">
            <v>1</v>
          </cell>
        </row>
        <row r="222">
          <cell r="C222" t="str">
            <v>PASCO 2</v>
          </cell>
          <cell r="D222">
            <v>11</v>
          </cell>
          <cell r="E222">
            <v>16</v>
          </cell>
          <cell r="F222">
            <v>15</v>
          </cell>
          <cell r="G222">
            <v>8</v>
          </cell>
          <cell r="H222">
            <v>11</v>
          </cell>
          <cell r="I222">
            <v>1.375</v>
          </cell>
          <cell r="J222">
            <v>1</v>
          </cell>
        </row>
        <row r="223">
          <cell r="C223" t="str">
            <v>AYABACA</v>
          </cell>
          <cell r="D223">
            <v>16</v>
          </cell>
          <cell r="E223">
            <v>8</v>
          </cell>
          <cell r="F223">
            <v>7</v>
          </cell>
          <cell r="G223">
            <v>12</v>
          </cell>
          <cell r="H223">
            <v>16</v>
          </cell>
          <cell r="I223">
            <v>1.3333333333333333</v>
          </cell>
          <cell r="J223">
            <v>1</v>
          </cell>
        </row>
        <row r="224">
          <cell r="C224" t="str">
            <v>HUANCABAMBA</v>
          </cell>
          <cell r="D224">
            <v>19</v>
          </cell>
          <cell r="E224">
            <v>26</v>
          </cell>
          <cell r="F224">
            <v>9</v>
          </cell>
          <cell r="G224">
            <v>15</v>
          </cell>
          <cell r="H224">
            <v>19</v>
          </cell>
          <cell r="I224">
            <v>1.2666666666666666</v>
          </cell>
          <cell r="J224">
            <v>1</v>
          </cell>
        </row>
        <row r="225">
          <cell r="C225" t="str">
            <v>MORROPON (Chulucanas)</v>
          </cell>
          <cell r="D225">
            <v>16</v>
          </cell>
          <cell r="E225">
            <v>8</v>
          </cell>
          <cell r="F225">
            <v>12</v>
          </cell>
          <cell r="G225">
            <v>12</v>
          </cell>
          <cell r="H225">
            <v>16</v>
          </cell>
          <cell r="I225">
            <v>1.3333333333333333</v>
          </cell>
          <cell r="J225">
            <v>1</v>
          </cell>
        </row>
        <row r="226">
          <cell r="C226" t="str">
            <v>MORROPON (MORROPON)</v>
          </cell>
          <cell r="D226">
            <v>16</v>
          </cell>
          <cell r="E226">
            <v>11</v>
          </cell>
          <cell r="F226">
            <v>12</v>
          </cell>
          <cell r="G226">
            <v>12</v>
          </cell>
          <cell r="H226">
            <v>16</v>
          </cell>
          <cell r="I226">
            <v>1.3333333333333333</v>
          </cell>
          <cell r="J226">
            <v>1</v>
          </cell>
        </row>
        <row r="227">
          <cell r="C227" t="str">
            <v>PAITA</v>
          </cell>
          <cell r="D227">
            <v>15</v>
          </cell>
          <cell r="E227">
            <v>4</v>
          </cell>
          <cell r="F227">
            <v>14</v>
          </cell>
          <cell r="G227">
            <v>11</v>
          </cell>
          <cell r="H227">
            <v>15</v>
          </cell>
          <cell r="I227">
            <v>1.3636363636363635</v>
          </cell>
          <cell r="J227">
            <v>1</v>
          </cell>
        </row>
        <row r="228">
          <cell r="C228" t="str">
            <v>PIURA 1</v>
          </cell>
          <cell r="D228">
            <v>19</v>
          </cell>
          <cell r="E228">
            <v>34</v>
          </cell>
          <cell r="F228">
            <v>29</v>
          </cell>
          <cell r="G228">
            <v>15</v>
          </cell>
          <cell r="H228">
            <v>19</v>
          </cell>
          <cell r="I228">
            <v>1.2666666666666666</v>
          </cell>
          <cell r="J228">
            <v>1</v>
          </cell>
        </row>
        <row r="229">
          <cell r="C229" t="str">
            <v>PIURA 2</v>
          </cell>
          <cell r="D229">
            <v>17</v>
          </cell>
          <cell r="E229">
            <v>18</v>
          </cell>
          <cell r="F229">
            <v>16</v>
          </cell>
          <cell r="G229">
            <v>13</v>
          </cell>
          <cell r="H229">
            <v>17</v>
          </cell>
          <cell r="I229">
            <v>1.3076923076923077</v>
          </cell>
          <cell r="J229">
            <v>1</v>
          </cell>
        </row>
        <row r="230">
          <cell r="C230" t="str">
            <v>PIURA 3</v>
          </cell>
          <cell r="D230">
            <v>21</v>
          </cell>
          <cell r="E230">
            <v>52</v>
          </cell>
          <cell r="F230">
            <v>26</v>
          </cell>
          <cell r="G230">
            <v>17</v>
          </cell>
          <cell r="H230">
            <v>21</v>
          </cell>
          <cell r="I230">
            <v>1.2352941176470589</v>
          </cell>
          <cell r="J230">
            <v>1</v>
          </cell>
        </row>
        <row r="231">
          <cell r="C231" t="str">
            <v>PIURA 4</v>
          </cell>
          <cell r="D231">
            <v>18</v>
          </cell>
          <cell r="E231">
            <v>15</v>
          </cell>
          <cell r="F231">
            <v>12</v>
          </cell>
          <cell r="G231">
            <v>14</v>
          </cell>
          <cell r="H231">
            <v>18</v>
          </cell>
          <cell r="I231">
            <v>1.2857142857142858</v>
          </cell>
          <cell r="J231">
            <v>1</v>
          </cell>
        </row>
        <row r="232">
          <cell r="C232" t="str">
            <v>SECHURA</v>
          </cell>
          <cell r="D232">
            <v>10</v>
          </cell>
          <cell r="F232">
            <v>12</v>
          </cell>
          <cell r="G232">
            <v>8</v>
          </cell>
          <cell r="H232">
            <v>11</v>
          </cell>
          <cell r="I232">
            <v>1.25</v>
          </cell>
          <cell r="J232">
            <v>0.90909090909090906</v>
          </cell>
        </row>
        <row r="233">
          <cell r="C233" t="str">
            <v>SULLANA 1</v>
          </cell>
          <cell r="D233">
            <v>16</v>
          </cell>
          <cell r="E233">
            <v>15</v>
          </cell>
          <cell r="F233">
            <v>32</v>
          </cell>
          <cell r="G233">
            <v>12</v>
          </cell>
          <cell r="H233">
            <v>16</v>
          </cell>
          <cell r="I233">
            <v>1.3333333333333333</v>
          </cell>
          <cell r="J233">
            <v>1</v>
          </cell>
        </row>
        <row r="234">
          <cell r="C234" t="str">
            <v>SULLANA 2</v>
          </cell>
          <cell r="D234">
            <v>12</v>
          </cell>
          <cell r="E234">
            <v>17</v>
          </cell>
          <cell r="F234">
            <v>13</v>
          </cell>
          <cell r="G234">
            <v>9</v>
          </cell>
          <cell r="H234">
            <v>12</v>
          </cell>
          <cell r="I234">
            <v>1.3333333333333333</v>
          </cell>
          <cell r="J234">
            <v>1</v>
          </cell>
        </row>
        <row r="235">
          <cell r="C235" t="str">
            <v>TALARA</v>
          </cell>
          <cell r="D235">
            <v>16</v>
          </cell>
          <cell r="E235">
            <v>6</v>
          </cell>
          <cell r="F235">
            <v>8</v>
          </cell>
          <cell r="G235">
            <v>12</v>
          </cell>
          <cell r="H235">
            <v>16</v>
          </cell>
          <cell r="I235">
            <v>1.3333333333333333</v>
          </cell>
          <cell r="J235">
            <v>1</v>
          </cell>
        </row>
        <row r="236">
          <cell r="C236" t="str">
            <v>AZANGARO</v>
          </cell>
          <cell r="D236">
            <v>13</v>
          </cell>
          <cell r="E236">
            <v>23</v>
          </cell>
          <cell r="F236">
            <v>14</v>
          </cell>
          <cell r="G236">
            <v>10</v>
          </cell>
          <cell r="H236">
            <v>13</v>
          </cell>
          <cell r="I236">
            <v>1.3</v>
          </cell>
          <cell r="J236">
            <v>1</v>
          </cell>
        </row>
        <row r="237">
          <cell r="C237" t="str">
            <v>CARABAYA</v>
          </cell>
          <cell r="D237">
            <v>6</v>
          </cell>
          <cell r="E237">
            <v>8</v>
          </cell>
          <cell r="F237">
            <v>3</v>
          </cell>
          <cell r="G237">
            <v>4</v>
          </cell>
          <cell r="H237">
            <v>6</v>
          </cell>
          <cell r="I237">
            <v>1.5</v>
          </cell>
          <cell r="J237">
            <v>1</v>
          </cell>
        </row>
        <row r="238">
          <cell r="C238" t="str">
            <v>CHUCUITO</v>
          </cell>
          <cell r="D238">
            <v>8</v>
          </cell>
          <cell r="E238">
            <v>8</v>
          </cell>
          <cell r="F238">
            <v>11</v>
          </cell>
          <cell r="G238">
            <v>6</v>
          </cell>
          <cell r="H238">
            <v>8</v>
          </cell>
          <cell r="I238">
            <v>1.3333333333333333</v>
          </cell>
          <cell r="J238">
            <v>1</v>
          </cell>
        </row>
        <row r="239">
          <cell r="C239" t="str">
            <v>EL COLLAO</v>
          </cell>
          <cell r="D239">
            <v>6</v>
          </cell>
          <cell r="E239">
            <v>6</v>
          </cell>
          <cell r="F239">
            <v>6</v>
          </cell>
          <cell r="G239">
            <v>4</v>
          </cell>
          <cell r="H239">
            <v>6</v>
          </cell>
          <cell r="I239">
            <v>1.5</v>
          </cell>
          <cell r="J239">
            <v>1</v>
          </cell>
        </row>
        <row r="240">
          <cell r="C240" t="str">
            <v>HUANCANE-MOHO</v>
          </cell>
          <cell r="D240">
            <v>6</v>
          </cell>
          <cell r="E240">
            <v>11</v>
          </cell>
          <cell r="F240">
            <v>9</v>
          </cell>
          <cell r="G240">
            <v>4</v>
          </cell>
          <cell r="H240">
            <v>6</v>
          </cell>
          <cell r="I240">
            <v>1.5</v>
          </cell>
          <cell r="J240">
            <v>1</v>
          </cell>
        </row>
        <row r="241">
          <cell r="C241" t="str">
            <v>MELGAR-LAMPA</v>
          </cell>
          <cell r="D241">
            <v>9</v>
          </cell>
          <cell r="E241">
            <v>14</v>
          </cell>
          <cell r="F241">
            <v>15</v>
          </cell>
          <cell r="G241">
            <v>7</v>
          </cell>
          <cell r="H241">
            <v>9</v>
          </cell>
          <cell r="I241">
            <v>1.2857142857142858</v>
          </cell>
          <cell r="J241">
            <v>1</v>
          </cell>
        </row>
        <row r="242">
          <cell r="C242" t="str">
            <v>PUNO</v>
          </cell>
          <cell r="D242">
            <v>18</v>
          </cell>
          <cell r="E242">
            <v>46</v>
          </cell>
          <cell r="F242">
            <v>29</v>
          </cell>
          <cell r="G242">
            <v>14</v>
          </cell>
          <cell r="H242">
            <v>18</v>
          </cell>
          <cell r="I242">
            <v>1.2857142857142858</v>
          </cell>
          <cell r="J242">
            <v>1</v>
          </cell>
        </row>
        <row r="243">
          <cell r="C243" t="str">
            <v>SAN ANTONIO DE PUTINA</v>
          </cell>
          <cell r="D243">
            <v>4</v>
          </cell>
          <cell r="E243">
            <v>6</v>
          </cell>
          <cell r="F243">
            <v>5</v>
          </cell>
          <cell r="G243">
            <v>3</v>
          </cell>
          <cell r="H243">
            <v>4</v>
          </cell>
          <cell r="I243">
            <v>1.3333333333333333</v>
          </cell>
          <cell r="J243">
            <v>1</v>
          </cell>
        </row>
        <row r="244">
          <cell r="C244" t="str">
            <v>SAN ROMAN 1</v>
          </cell>
          <cell r="D244">
            <v>17</v>
          </cell>
          <cell r="E244">
            <v>35</v>
          </cell>
          <cell r="F244">
            <v>17</v>
          </cell>
          <cell r="G244">
            <v>13</v>
          </cell>
          <cell r="H244">
            <v>17</v>
          </cell>
          <cell r="I244">
            <v>1.3076923076923077</v>
          </cell>
          <cell r="J244">
            <v>1</v>
          </cell>
        </row>
        <row r="245">
          <cell r="C245" t="str">
            <v>SAN ROMAN 2</v>
          </cell>
          <cell r="D245">
            <v>19</v>
          </cell>
          <cell r="E245">
            <v>51</v>
          </cell>
          <cell r="F245">
            <v>26</v>
          </cell>
          <cell r="G245">
            <v>15</v>
          </cell>
          <cell r="H245">
            <v>19</v>
          </cell>
          <cell r="I245">
            <v>1.2666666666666666</v>
          </cell>
          <cell r="J245">
            <v>1</v>
          </cell>
        </row>
        <row r="246">
          <cell r="C246" t="str">
            <v>SANDIA</v>
          </cell>
          <cell r="D246">
            <v>7</v>
          </cell>
          <cell r="E246">
            <v>8</v>
          </cell>
          <cell r="F246">
            <v>5</v>
          </cell>
          <cell r="G246">
            <v>5</v>
          </cell>
          <cell r="H246">
            <v>7</v>
          </cell>
          <cell r="I246">
            <v>1.4</v>
          </cell>
          <cell r="J246">
            <v>1</v>
          </cell>
        </row>
        <row r="247">
          <cell r="C247" t="str">
            <v>YUNGUYO</v>
          </cell>
          <cell r="D247">
            <v>4</v>
          </cell>
          <cell r="E247">
            <v>6</v>
          </cell>
          <cell r="F247">
            <v>2</v>
          </cell>
          <cell r="G247">
            <v>3</v>
          </cell>
          <cell r="H247">
            <v>4</v>
          </cell>
          <cell r="I247">
            <v>1.3333333333333333</v>
          </cell>
          <cell r="J247">
            <v>1</v>
          </cell>
        </row>
        <row r="248">
          <cell r="C248" t="str">
            <v>EL DORADO</v>
          </cell>
          <cell r="D248">
            <v>8</v>
          </cell>
          <cell r="E248">
            <v>2</v>
          </cell>
          <cell r="F248">
            <v>5</v>
          </cell>
          <cell r="G248">
            <v>6</v>
          </cell>
          <cell r="H248">
            <v>8</v>
          </cell>
          <cell r="I248">
            <v>1.3333333333333333</v>
          </cell>
          <cell r="J248">
            <v>1</v>
          </cell>
        </row>
        <row r="249">
          <cell r="C249" t="str">
            <v>LAMAS</v>
          </cell>
          <cell r="D249">
            <v>13</v>
          </cell>
          <cell r="E249">
            <v>5</v>
          </cell>
          <cell r="F249">
            <v>8</v>
          </cell>
          <cell r="G249">
            <v>10</v>
          </cell>
          <cell r="H249">
            <v>13</v>
          </cell>
          <cell r="I249">
            <v>1.3</v>
          </cell>
          <cell r="J249">
            <v>1</v>
          </cell>
        </row>
        <row r="250">
          <cell r="C250" t="str">
            <v>MOYOBAMBA</v>
          </cell>
          <cell r="D250">
            <v>19</v>
          </cell>
          <cell r="E250">
            <v>3</v>
          </cell>
          <cell r="F250">
            <v>22</v>
          </cell>
          <cell r="G250">
            <v>15</v>
          </cell>
          <cell r="H250">
            <v>19</v>
          </cell>
          <cell r="I250">
            <v>1.2666666666666666</v>
          </cell>
          <cell r="J250">
            <v>1</v>
          </cell>
        </row>
        <row r="251">
          <cell r="C251" t="str">
            <v>RIOJA</v>
          </cell>
          <cell r="D251">
            <v>17</v>
          </cell>
          <cell r="E251">
            <v>3</v>
          </cell>
          <cell r="F251">
            <v>14</v>
          </cell>
          <cell r="G251">
            <v>13</v>
          </cell>
          <cell r="H251">
            <v>17</v>
          </cell>
          <cell r="I251">
            <v>1.3076923076923077</v>
          </cell>
          <cell r="J251">
            <v>1</v>
          </cell>
        </row>
        <row r="252">
          <cell r="C252" t="str">
            <v>ALTO AMAZONAS</v>
          </cell>
          <cell r="D252">
            <v>19</v>
          </cell>
          <cell r="E252">
            <v>6</v>
          </cell>
          <cell r="F252">
            <v>15</v>
          </cell>
          <cell r="G252">
            <v>15</v>
          </cell>
          <cell r="H252">
            <v>19</v>
          </cell>
          <cell r="I252">
            <v>1.2666666666666666</v>
          </cell>
          <cell r="J252">
            <v>1</v>
          </cell>
        </row>
        <row r="253">
          <cell r="C253" t="str">
            <v>BELLAVISTA</v>
          </cell>
          <cell r="D253">
            <v>11</v>
          </cell>
          <cell r="F253">
            <v>5</v>
          </cell>
          <cell r="G253">
            <v>8</v>
          </cell>
          <cell r="H253">
            <v>11</v>
          </cell>
          <cell r="I253">
            <v>1.375</v>
          </cell>
          <cell r="J253">
            <v>1</v>
          </cell>
        </row>
        <row r="254">
          <cell r="C254" t="str">
            <v>DATEM DEL MARAÑON</v>
          </cell>
          <cell r="D254">
            <v>9</v>
          </cell>
          <cell r="E254">
            <v>3</v>
          </cell>
          <cell r="F254">
            <v>6</v>
          </cell>
          <cell r="G254">
            <v>7</v>
          </cell>
          <cell r="H254">
            <v>9</v>
          </cell>
          <cell r="I254">
            <v>1.2857142857142858</v>
          </cell>
          <cell r="J254">
            <v>1</v>
          </cell>
        </row>
        <row r="255">
          <cell r="C255" t="str">
            <v>HUALLAGA</v>
          </cell>
          <cell r="D255">
            <v>6</v>
          </cell>
          <cell r="E255">
            <v>2</v>
          </cell>
          <cell r="G255">
            <v>4</v>
          </cell>
          <cell r="H255">
            <v>6</v>
          </cell>
          <cell r="I255">
            <v>1.5</v>
          </cell>
          <cell r="J255">
            <v>1</v>
          </cell>
        </row>
        <row r="256">
          <cell r="C256" t="str">
            <v>MARISCAL CACERES</v>
          </cell>
          <cell r="D256">
            <v>11</v>
          </cell>
          <cell r="F256">
            <v>7</v>
          </cell>
          <cell r="G256">
            <v>8</v>
          </cell>
          <cell r="H256">
            <v>11</v>
          </cell>
          <cell r="I256">
            <v>1.375</v>
          </cell>
          <cell r="J256">
            <v>1</v>
          </cell>
        </row>
        <row r="257">
          <cell r="C257" t="str">
            <v>PICOTA</v>
          </cell>
          <cell r="D257">
            <v>9</v>
          </cell>
          <cell r="E257">
            <v>4</v>
          </cell>
          <cell r="F257">
            <v>3</v>
          </cell>
          <cell r="G257">
            <v>7</v>
          </cell>
          <cell r="H257">
            <v>9</v>
          </cell>
          <cell r="I257">
            <v>1.2857142857142858</v>
          </cell>
          <cell r="J257">
            <v>1</v>
          </cell>
        </row>
        <row r="258">
          <cell r="C258" t="str">
            <v>SAN MARTIN</v>
          </cell>
          <cell r="D258">
            <v>18</v>
          </cell>
          <cell r="E258">
            <v>33</v>
          </cell>
          <cell r="F258">
            <v>16</v>
          </cell>
          <cell r="G258">
            <v>14</v>
          </cell>
          <cell r="H258">
            <v>18</v>
          </cell>
          <cell r="I258">
            <v>1.2857142857142858</v>
          </cell>
          <cell r="J258">
            <v>1</v>
          </cell>
        </row>
        <row r="259">
          <cell r="C259" t="str">
            <v>TOCACHE</v>
          </cell>
          <cell r="D259">
            <v>13</v>
          </cell>
          <cell r="E259">
            <v>6</v>
          </cell>
          <cell r="F259">
            <v>6</v>
          </cell>
          <cell r="G259">
            <v>10</v>
          </cell>
          <cell r="H259">
            <v>13</v>
          </cell>
          <cell r="I259">
            <v>1.3</v>
          </cell>
          <cell r="J259">
            <v>1</v>
          </cell>
        </row>
        <row r="260">
          <cell r="C260" t="str">
            <v>TACNA 1-JORGE BASADRE</v>
          </cell>
          <cell r="D260">
            <v>18</v>
          </cell>
          <cell r="E260">
            <v>25</v>
          </cell>
          <cell r="F260">
            <v>26</v>
          </cell>
          <cell r="G260">
            <v>14</v>
          </cell>
          <cell r="H260">
            <v>18</v>
          </cell>
          <cell r="I260">
            <v>1.2857142857142858</v>
          </cell>
          <cell r="J260">
            <v>1</v>
          </cell>
        </row>
        <row r="261">
          <cell r="C261" t="str">
            <v>TACNA 2-TARATA-CANDARAVE</v>
          </cell>
          <cell r="D261">
            <v>17</v>
          </cell>
          <cell r="E261">
            <v>21</v>
          </cell>
          <cell r="F261">
            <v>28</v>
          </cell>
          <cell r="G261">
            <v>13</v>
          </cell>
          <cell r="H261">
            <v>17</v>
          </cell>
          <cell r="I261">
            <v>1.3076923076923077</v>
          </cell>
          <cell r="J261">
            <v>1</v>
          </cell>
        </row>
        <row r="262">
          <cell r="C262" t="str">
            <v>TUMBES 1</v>
          </cell>
          <cell r="D262">
            <v>15</v>
          </cell>
          <cell r="E262">
            <v>31</v>
          </cell>
          <cell r="F262">
            <v>32</v>
          </cell>
          <cell r="G262">
            <v>11</v>
          </cell>
          <cell r="H262">
            <v>15</v>
          </cell>
          <cell r="I262">
            <v>1.3636363636363635</v>
          </cell>
          <cell r="J262">
            <v>1</v>
          </cell>
        </row>
        <row r="263">
          <cell r="C263" t="str">
            <v>TUMBES 2-CONTRALMIRANTE VILLAR</v>
          </cell>
          <cell r="D263">
            <v>12</v>
          </cell>
          <cell r="E263">
            <v>1</v>
          </cell>
          <cell r="F263">
            <v>11</v>
          </cell>
          <cell r="G263">
            <v>9</v>
          </cell>
          <cell r="H263">
            <v>12</v>
          </cell>
          <cell r="I263">
            <v>1.3333333333333333</v>
          </cell>
          <cell r="J263">
            <v>1</v>
          </cell>
        </row>
        <row r="264">
          <cell r="C264" t="str">
            <v>ZARUMILLA</v>
          </cell>
          <cell r="D264">
            <v>8</v>
          </cell>
          <cell r="E264">
            <v>6</v>
          </cell>
          <cell r="F264">
            <v>6</v>
          </cell>
          <cell r="G264">
            <v>6</v>
          </cell>
          <cell r="H264">
            <v>8</v>
          </cell>
          <cell r="I264">
            <v>1.3333333333333333</v>
          </cell>
          <cell r="J264">
            <v>1</v>
          </cell>
        </row>
        <row r="265">
          <cell r="C265" t="str">
            <v>ATALAYA</v>
          </cell>
          <cell r="D265">
            <v>11</v>
          </cell>
          <cell r="E265">
            <v>7</v>
          </cell>
          <cell r="F265">
            <v>5</v>
          </cell>
          <cell r="G265">
            <v>8</v>
          </cell>
          <cell r="H265">
            <v>11</v>
          </cell>
          <cell r="I265">
            <v>1.375</v>
          </cell>
          <cell r="J265">
            <v>1</v>
          </cell>
        </row>
        <row r="266">
          <cell r="C266" t="str">
            <v>CORONEL PORTILLO 1-PURUS</v>
          </cell>
          <cell r="D266">
            <v>19</v>
          </cell>
          <cell r="E266">
            <v>15</v>
          </cell>
          <cell r="F266">
            <v>9</v>
          </cell>
          <cell r="G266">
            <v>15</v>
          </cell>
          <cell r="H266">
            <v>19</v>
          </cell>
          <cell r="I266">
            <v>1.2666666666666666</v>
          </cell>
          <cell r="J266">
            <v>1</v>
          </cell>
        </row>
        <row r="267">
          <cell r="C267" t="str">
            <v>CORONEL PORTILLO 2</v>
          </cell>
          <cell r="D267">
            <v>18</v>
          </cell>
          <cell r="E267">
            <v>26</v>
          </cell>
          <cell r="F267">
            <v>15</v>
          </cell>
          <cell r="G267">
            <v>14</v>
          </cell>
          <cell r="H267">
            <v>18</v>
          </cell>
          <cell r="I267">
            <v>1.2857142857142858</v>
          </cell>
          <cell r="J267">
            <v>1</v>
          </cell>
        </row>
        <row r="268">
          <cell r="C268" t="str">
            <v>CORONEL PORTILLO 3</v>
          </cell>
          <cell r="D268">
            <v>19</v>
          </cell>
          <cell r="E268">
            <v>5</v>
          </cell>
          <cell r="F268">
            <v>15</v>
          </cell>
          <cell r="G268">
            <v>15</v>
          </cell>
          <cell r="H268">
            <v>19</v>
          </cell>
          <cell r="I268">
            <v>1.2666666666666666</v>
          </cell>
          <cell r="J268">
            <v>1</v>
          </cell>
        </row>
        <row r="269">
          <cell r="C269" t="str">
            <v>PADRE ABAD</v>
          </cell>
          <cell r="D269">
            <v>13</v>
          </cell>
          <cell r="E269">
            <v>6</v>
          </cell>
          <cell r="F269">
            <v>4</v>
          </cell>
          <cell r="G269">
            <v>10</v>
          </cell>
          <cell r="H269">
            <v>13</v>
          </cell>
          <cell r="I269">
            <v>1.3</v>
          </cell>
          <cell r="J269">
            <v>1</v>
          </cell>
        </row>
        <row r="270">
          <cell r="C270" t="str">
            <v>PUERTO INCA</v>
          </cell>
          <cell r="D270">
            <v>8</v>
          </cell>
          <cell r="E270">
            <v>6</v>
          </cell>
          <cell r="F270">
            <v>4</v>
          </cell>
          <cell r="G270">
            <v>6</v>
          </cell>
          <cell r="H270">
            <v>8</v>
          </cell>
          <cell r="I270">
            <v>1.3333333333333333</v>
          </cell>
          <cell r="J270">
            <v>1</v>
          </cell>
        </row>
        <row r="271">
          <cell r="C271" t="str">
            <v>UCAYALI</v>
          </cell>
          <cell r="D271">
            <v>12</v>
          </cell>
          <cell r="E271">
            <v>3</v>
          </cell>
          <cell r="F271">
            <v>11</v>
          </cell>
          <cell r="G271">
            <v>9</v>
          </cell>
          <cell r="H271">
            <v>12</v>
          </cell>
          <cell r="I271">
            <v>1.3333333333333333</v>
          </cell>
          <cell r="J27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.xlsx].xlsx].xlsx].xlsx]_xlsx_2"/>
      <sheetName val=".xlsx].xlsx].xlsx].xlsx]_xlsx_3"/>
      <sheetName val=".xlsx].xlsx].xlsx].xlsx]_xlsx_4"/>
      <sheetName val=".xlsx].xlsx].xlsx].xlsx]_xlsx_5"/>
      <sheetName val=".xlsx].xlsx].xlsx].xlsx]_xlsx_6"/>
      <sheetName val=".xlsx].xlsx].xlsx].xlsx]_xlsx_7"/>
      <sheetName val=".xlsx].xlsx].xlsx].xlsx]_xlsx_8"/>
      <sheetName val=".xlsx].xlsx].xlsx].xlsx]_xlsx_9"/>
      <sheetName val=".xlsx].xlsx].xlsx].xlsx]_xls_10"/>
      <sheetName val=".xlsx].xlsx].xlsx].xlsx]_xls_11"/>
      <sheetName val=".xlsx].xlsx].xlsx].xlsx]_xls_12"/>
      <sheetName val=".xlsx].xlsx].xlsx].xlsx]_xls_13"/>
      <sheetName val=".xlsx].xlsx].xlsx].xlsx]_xls_14"/>
      <sheetName val=".xlsx].xlsx].xlsx].xlsx]_xls_15"/>
      <sheetName val=".xlsx].xlsx].xlsx].xlsx]_xls_16"/>
      <sheetName val=".xlsx].xlsx].xlsx].xlsx]_xls_17"/>
      <sheetName val=".xlsx].xlsx].xlsx].xlsx]_xls_18"/>
      <sheetName val=".xlsx].xlsx].xlsx].xlsx]_xls_19"/>
      <sheetName val=".xlsx].xlsx].xlsx].xlsx]_xls_20"/>
      <sheetName val=".xlsx].xlsx].xlsx].xlsx]_xls_21"/>
      <sheetName val=".xlsx].xlsx].xlsx].xlsx]_xls_22"/>
      <sheetName val=".xlsx].xlsx].xlsx].xlsx]_xls_23"/>
      <sheetName val=".xlsx].xlsx].xlsx].xlsx]_xls_24"/>
      <sheetName val=".xlsx].xlsx].xlsx].xlsx]_xls_25"/>
      <sheetName val=".xlsx].xlsx].xlsx].xlsx]_xls_26"/>
      <sheetName val=".xlsx].xlsx].xlsx].xlsx]_xls_27"/>
      <sheetName val=".xlsx].xlsx].xlsx].xlsx]_xls_28"/>
      <sheetName val=".xlsx].xlsx].xlsx].xlsx]_xls_29"/>
      <sheetName val=".xlsx].xlsx].xlsx].xlsx]_xls_30"/>
      <sheetName val=".xlsx].xlsx].xlsx].xlsx]_xls_31"/>
      <sheetName val=".xlsx].xlsx].xlsx].xlsx]_xls_32"/>
      <sheetName val=".xlsx].xlsx].xlsx].xlsx]_xls_33"/>
      <sheetName val=".xlsx].xlsx].xlsx].xlsx]_xls_34"/>
      <sheetName val=".xlsx].xlsx].xlsx].xlsx]_xls_35"/>
      <sheetName val=".xlsx].xlsx].xlsx].xlsx]_xls_36"/>
      <sheetName val=".xlsx].xlsx].xlsx].xlsx]_xls_37"/>
      <sheetName val=".xlsx].xlsx].xlsx].xlsx]_xls_38"/>
      <sheetName val=".xlsx].xlsx].xlsx].xlsx]_xls_39"/>
      <sheetName val=".xlsx].xlsx].xlsx].xlsx]_xls_40"/>
      <sheetName val=".xlsx].xlsx].xlsx].xlsx]_xls_41"/>
      <sheetName val=".xlsx].xlsx].xlsx].xlsx]_xls_42"/>
      <sheetName val=".xlsx].xlsx].xlsx].xlsx]_xls_43"/>
      <sheetName val=".xlsx].xlsx].xlsx].xlsx]_xls_44"/>
      <sheetName val=".xlsx].xlsx].xlsx].xlsx]_xls_45"/>
      <sheetName val=".xlsx].xlsx].xlsx].xlsx]_xls_46"/>
      <sheetName val=".xlsx].xlsx].xlsx].xlsx]_xls_47"/>
      <sheetName val=".xlsx].xlsx].xlsx].xlsx]_xls_48"/>
      <sheetName val=".xlsx].xlsx].xlsx].xlsx]_xls_49"/>
      <sheetName val=".xlsx].xlsx].xlsx].xlsx]_xls_50"/>
      <sheetName val=".xlsx].xlsx].xlsx].xlsx]_xls_51"/>
      <sheetName val=".xlsx].xlsx].xlsx].xlsx]_xls_52"/>
      <sheetName val=".xlsx].xlsx].xlsx].xlsx]_xls_53"/>
      <sheetName val=".xlsx].xlsx].xlsx].xlsx]_xls_54"/>
      <sheetName val=".xlsx].xlsx].xlsx].xlsx]_xls_55"/>
      <sheetName val=".xlsx].xlsx].xlsx].xlsx]_xls_56"/>
      <sheetName val=".xlsx].xlsx].xlsx].xlsx]_xls_57"/>
      <sheetName val=".xlsx].xlsx].xlsx].xlsx]_xls_58"/>
      <sheetName val=".xlsx].xlsx].xlsx].xlsx]_xls_59"/>
      <sheetName val=".xlsx].xlsx].xlsx].xlsx]_xls_60"/>
      <sheetName val=".xlsx].xlsx].xlsx].xlsx]_xls_61"/>
      <sheetName val=".xlsx].xlsx].xlsx].xlsx]_xls_62"/>
      <sheetName val=".xlsx].xlsx].xlsx].xlsx]_xls_63"/>
      <sheetName val=".xlsx].xlsx].xlsx].xlsx]_xls_64"/>
      <sheetName val=".xlsx].xlsx].xlsx].xlsx]_xls_65"/>
      <sheetName val=".xlsx].xlsx].xlsx].xlsx]_xls_66"/>
      <sheetName val=".xlsx].xlsx].xlsx].xlsx]_xls_67"/>
      <sheetName val=".xlsx].xlsx].xlsx].xlsx]_xls_68"/>
      <sheetName val=".xlsx].xlsx].xlsx].xlsx]_xls_69"/>
      <sheetName val=".xlsx].xlsx].xlsx].xlsx]_xls_70"/>
      <sheetName val=".xlsx].xlsx].xlsx].xlsx]_xls_71"/>
      <sheetName val=".xlsx].xlsx].xlsx].xlsx]_xls_72"/>
      <sheetName val=".xlsx].xlsx].xlsx].xlsx]_xls_73"/>
      <sheetName val=".xlsx].xlsx].xlsx].xlsx]_xls_74"/>
      <sheetName val=".xlsx].xlsx].xlsx].xlsx]_xls_75"/>
      <sheetName val=".xlsx].xlsx].xlsx].xlsx]_xls_76"/>
      <sheetName val=".xlsx].xlsx].xlsx].xlsx]_xls_77"/>
      <sheetName val=".xlsx].xlsx].xlsx].xlsx]_xls_78"/>
      <sheetName val=".xlsx].xlsx].xlsx].xlsx]_xls_79"/>
      <sheetName val=".xlsx].xlsx].xlsx].xlsx]_xls_80"/>
      <sheetName val=".xlsx].xlsx].xlsx].xlsx]_xls_81"/>
      <sheetName val=".xlsx].xlsx].xlsx].xlsx]_xls_82"/>
      <sheetName val=".xlsx].xlsx].xlsx].xlsx]_xls_83"/>
      <sheetName val=".xlsx].xlsx].xlsx].xlsx]_xls_84"/>
      <sheetName val=".xlsx].xlsx].xlsx].xlsx]_xls_85"/>
      <sheetName val=".xlsx].xlsx].xlsx].xlsx]_xls_86"/>
      <sheetName val=".xlsx].xlsx].xlsx].xlsx]_xls_87"/>
      <sheetName val=".xlsx].xlsx].xlsx].xlsx]_xls_88"/>
      <sheetName val=".xlsx].xlsx].xlsx].xlsx]_xls_89"/>
      <sheetName val=".xlsx].xlsx].xlsx].xlsx]_xls_90"/>
      <sheetName val=".xlsx].xlsx].xlsx].xlsx]_xls_91"/>
      <sheetName val=".xlsx].xlsx].xlsx].xlsx]_xls_92"/>
      <sheetName val=".xlsx].xlsx].xlsx].xlsx]_xls_93"/>
      <sheetName val=".xlsx].xlsx].xlsx].xlsx]_xls_94"/>
      <sheetName val=".xlsx].xlsx].xlsx].xlsx]_xls_95"/>
      <sheetName val=".xlsx].xlsx].xlsx].xlsx]_xls_96"/>
      <sheetName val=".xlsx].xlsx].xlsx].xlsx]_xls_97"/>
      <sheetName val=".xlsx].xlsx].xlsx].xlsx]_xls_98"/>
      <sheetName val=".xlsx].xlsx].xlsx].xlsx]_xls_99"/>
      <sheetName val=".xlsx].xlsx].xlsx].xlsx]_xl_100"/>
      <sheetName val=".xlsx].xlsx].xlsx].xlsx]_xl_101"/>
      <sheetName val=".xlsx].xlsx].xlsx].xlsx]_xl_102"/>
      <sheetName val=".xlsx].xlsx].xlsx].xlsx]_xl_103"/>
      <sheetName val=".xlsx].xlsx].xlsx].xlsx]_xl_104"/>
      <sheetName val=".xlsx].xlsx].xlsx].xlsx]_xl_105"/>
      <sheetName val=".xlsx].xlsx].xlsx].xlsx]_xl_106"/>
      <sheetName val=".xlsx].xlsx].xlsx].xlsx]_xl_107"/>
      <sheetName val=".xlsx].xlsx].xlsx].xlsx]_xl_108"/>
      <sheetName val=".xlsx].xlsx].xlsx].xlsx]_xl_109"/>
      <sheetName val=".xlsx].xlsx].xlsx].xlsx]_xl_110"/>
      <sheetName val=".xlsx].xlsx].xlsx].xlsx]_xl_111"/>
      <sheetName val=".xlsx].xlsx].xlsx].xlsx]_xl_112"/>
      <sheetName val=".xlsx].xlsx].xlsx].xlsx]_xl_113"/>
      <sheetName val=".xlsx].xlsx].xlsx].xlsx]_xl_114"/>
      <sheetName val=".xlsx].xlsx].xlsx].xlsx]_xl_115"/>
      <sheetName val=".xlsx].xlsx].xlsx].xlsx]_xl_116"/>
      <sheetName val=".xlsx].xlsx].xlsx].xlsx]_xl_117"/>
      <sheetName val=".xlsx].xlsx].xlsx].xlsx]_xl_118"/>
      <sheetName val=".xlsx].xlsx].xlsx].xlsx]_xl_119"/>
      <sheetName val=".xlsx].xlsx].xlsx].xlsx]_xl_120"/>
      <sheetName val=".xlsx].xlsx].xlsx].xlsx]_xl_121"/>
      <sheetName val=".xlsx].xlsx].xlsx].xlsx]_xl_122"/>
      <sheetName val=".xlsx].xlsx].xlsx].xlsx]_xl_123"/>
      <sheetName val=".xlsx].xlsx].xlsx].xlsx]_xl_124"/>
      <sheetName val=".xlsx].xlsx].xlsx].xlsx]_xl_125"/>
      <sheetName val=".xlsx].xlsx].xlsx].xlsx]_xl_126"/>
      <sheetName val=".xlsx].xlsx].xlsx].xlsx]_xl_127"/>
      <sheetName val=".xlsx].xlsx].xlsx].xlsx]_xl_128"/>
      <sheetName val=".xlsx].xlsx].xlsx].xlsx]Modul_2"/>
      <sheetName val=".xlsx].xlsx].xlsx].xlsx]Modul_3"/>
      <sheetName val=".xlsx].xlsx].xlsx].xlsx]Modul_4"/>
      <sheetName val=".xlsx].xlsx].xlsx].xlsx]Modul_5"/>
      <sheetName val=".xlsx].xlsx].xlsx].xlsx]Modul_6"/>
      <sheetName val=".xlsx].xlsx].xlsx]Modulado_Ap_2"/>
      <sheetName val=".xlsx].xlsx].xlsx]Modulado_Ap_3"/>
      <sheetName val=".xlsx].xlsx].xlsx]Modulado_Ap_4"/>
      <sheetName val=".xlsx].xlsx].xlsx]Modulado_Ap_5"/>
      <sheetName val=".xlsx].xlsx].xlsx]Modulado_Ap_6"/>
      <sheetName val=".xlsx].xlsx]Modulado_Aplicado_2"/>
      <sheetName val=".xlsx].xlsx]Modulado_Aplicado_3"/>
      <sheetName val=".xlsx].xlsx]Modulado_Aplicado_4"/>
      <sheetName val=".xlsx].xlsx]Modulado_Aplicado_5"/>
      <sheetName val=".xlsx].xlsx]Modulado_Aplicado_6"/>
      <sheetName val=".xlsx]Modulado_Aplicador_FINA_2"/>
      <sheetName val=".xlsx]Modulado_Aplicador_FINA_3"/>
      <sheetName val=".xlsx]Modulado_Aplicador_FINA_4"/>
      <sheetName val=".xlsx]Modulado_Aplicador_FINA_5"/>
      <sheetName val=".xlsx]Modulado_Aplicador_FINA_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RRECCION DE CRITERIOS"/>
      <sheetName val="Hoja3"/>
      <sheetName val="REPORTE"/>
      <sheetName val="Hoja2"/>
      <sheetName val="ranking"/>
      <sheetName val="Hoja1"/>
      <sheetName val="sedesymetyas"/>
      <sheetName val="Hoja4"/>
      <sheetName val="Hoj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>BAGUA (IMAZA)</v>
          </cell>
          <cell r="D4" t="str">
            <v>BAGUA</v>
          </cell>
          <cell r="E4" t="str">
            <v>Awajún</v>
          </cell>
          <cell r="F4" t="str">
            <v xml:space="preserve">INSTITUCIÓN EDUCATIVA PRIMARIA N° 16318 - CHIRIACO </v>
          </cell>
          <cell r="G4" t="str">
            <v xml:space="preserve">JR. RICARDO PALMA S/N </v>
          </cell>
          <cell r="H4" t="str">
            <v xml:space="preserve">A ESPALDAS DEL MERCADO DE ABASTOS </v>
          </cell>
          <cell r="K4">
            <v>2</v>
          </cell>
          <cell r="L4">
            <v>2</v>
          </cell>
          <cell r="M4">
            <v>1</v>
          </cell>
          <cell r="N4">
            <v>60</v>
          </cell>
          <cell r="O4">
            <v>30</v>
          </cell>
        </row>
        <row r="5">
          <cell r="C5" t="str">
            <v>CONDORCANQUI (HUAMPAMI)HUAMPAMI (NIEVA)</v>
          </cell>
          <cell r="D5" t="str">
            <v>NIEVA</v>
          </cell>
          <cell r="E5" t="str">
            <v>Awajún</v>
          </cell>
          <cell r="F5" t="str">
            <v>COLEGIO MIXTO NIEVA</v>
          </cell>
          <cell r="G5" t="str">
            <v>JR. CIRO ALEGRIA S/N</v>
          </cell>
          <cell r="H5" t="str">
            <v>ALTURA DE LA ANTIGUA UGEL</v>
          </cell>
          <cell r="K5">
            <v>2</v>
          </cell>
          <cell r="L5">
            <v>2</v>
          </cell>
          <cell r="M5">
            <v>1</v>
          </cell>
          <cell r="N5">
            <v>60</v>
          </cell>
          <cell r="O5">
            <v>30</v>
          </cell>
        </row>
        <row r="6">
          <cell r="C6" t="str">
            <v>CONDORCANQUI (HUAMPAMI)CENEPA -NIEVA (TEMPORAL)</v>
          </cell>
          <cell r="D6" t="str">
            <v>HUAMPAMI (NIEVA)</v>
          </cell>
          <cell r="E6" t="str">
            <v>Awajún</v>
          </cell>
          <cell r="F6" t="str">
            <v>COLEGIO MOISES MORENO ROMERO</v>
          </cell>
          <cell r="G6" t="str">
            <v>JR. SN</v>
          </cell>
          <cell r="H6" t="str">
            <v>COMUNIDAD NATIVA HUAMPAMI</v>
          </cell>
          <cell r="K6">
            <v>2</v>
          </cell>
          <cell r="L6">
            <v>2</v>
          </cell>
          <cell r="M6">
            <v>1</v>
          </cell>
          <cell r="N6">
            <v>60</v>
          </cell>
          <cell r="O6">
            <v>30</v>
          </cell>
        </row>
        <row r="7">
          <cell r="C7" t="str">
            <v>CONDORCANQUI (RIO SANTIAGO)</v>
          </cell>
          <cell r="D7" t="str">
            <v>RIO SANTIAGO (NIEVA)</v>
          </cell>
          <cell r="E7" t="str">
            <v>Awajún</v>
          </cell>
          <cell r="F7" t="str">
            <v>INSTITUCIÓN  EDUCATIVA P.M N° 16297</v>
          </cell>
          <cell r="G7" t="str">
            <v>JR.LA CURVA SN</v>
          </cell>
          <cell r="H7" t="str">
            <v>A 100 METROS DEL MERCADO DE JUAN VELASCO</v>
          </cell>
          <cell r="K7">
            <v>1</v>
          </cell>
          <cell r="L7">
            <v>1</v>
          </cell>
          <cell r="M7">
            <v>1</v>
          </cell>
          <cell r="N7">
            <v>30</v>
          </cell>
          <cell r="O7">
            <v>30</v>
          </cell>
        </row>
        <row r="8">
          <cell r="C8" t="str">
            <v>SAN IGNACIO</v>
          </cell>
          <cell r="D8" t="str">
            <v>SAN IGNACIO</v>
          </cell>
          <cell r="E8" t="str">
            <v>Awajún</v>
          </cell>
          <cell r="F8" t="str">
            <v>INSTITUCIÓN EDUCATIVA N° 16462 - SAN JUAN BOSCO</v>
          </cell>
          <cell r="G8" t="str">
            <v>JR. LIMA N° 391</v>
          </cell>
          <cell r="H8" t="str">
            <v>A MEDIA CUADRA DE LA EX UGEL</v>
          </cell>
          <cell r="K8">
            <v>1</v>
          </cell>
          <cell r="L8">
            <v>1</v>
          </cell>
          <cell r="N8">
            <v>30</v>
          </cell>
          <cell r="O8">
            <v>0</v>
          </cell>
        </row>
        <row r="9">
          <cell r="C9" t="str">
            <v>ABANCAY-ANTABAMBA</v>
          </cell>
          <cell r="D9" t="str">
            <v>ABANCAY</v>
          </cell>
          <cell r="E9" t="str">
            <v>Quechua Cusco Collao</v>
          </cell>
          <cell r="F9" t="str">
            <v xml:space="preserve">INSTITUCIÓN EDUCATIVA EMBLEMÁTICA MIGUEL GRAU </v>
          </cell>
          <cell r="G9" t="str">
            <v>AV. SEOANE N° 507</v>
          </cell>
          <cell r="H9" t="str">
            <v>A 200 METROS HACIA  ARRIBA DE LA CAPILLA DEL SEÑOR DE LA CAÍDA</v>
          </cell>
          <cell r="K9">
            <v>1</v>
          </cell>
          <cell r="L9">
            <v>1</v>
          </cell>
          <cell r="N9">
            <v>30</v>
          </cell>
          <cell r="O9">
            <v>0</v>
          </cell>
        </row>
        <row r="10">
          <cell r="C10" t="str">
            <v>ANDAHUAYLAS EIB</v>
          </cell>
          <cell r="D10" t="str">
            <v>ANDAHUAYLAS</v>
          </cell>
          <cell r="E10" t="str">
            <v>Quechua Chanka</v>
          </cell>
          <cell r="F10" t="str">
            <v>INSTITUCIÓN EDUCATIVA GREGORIO MARTENILLI DE TALAVERA</v>
          </cell>
          <cell r="G10" t="str">
            <v>AV. HUALALACHI N° 135</v>
          </cell>
          <cell r="H10" t="str">
            <v>FRENTE AL PARQUE DEL HERMANAMIENTO</v>
          </cell>
          <cell r="K10">
            <v>2</v>
          </cell>
          <cell r="L10">
            <v>2</v>
          </cell>
          <cell r="M10">
            <v>1</v>
          </cell>
          <cell r="N10">
            <v>60</v>
          </cell>
          <cell r="O10">
            <v>30</v>
          </cell>
        </row>
        <row r="11">
          <cell r="C11" t="str">
            <v>AYMARAES</v>
          </cell>
          <cell r="D11" t="str">
            <v>CHALHUANCA</v>
          </cell>
          <cell r="E11" t="str">
            <v>Quechua Chanka</v>
          </cell>
          <cell r="F11" t="str">
            <v>INSTITUCIÓN EDUCATIVA LOS LIBERTADORES DE AMÉRICA</v>
          </cell>
          <cell r="G11" t="str">
            <v>AV. PANAMERICANA S/N</v>
          </cell>
          <cell r="H11" t="str">
            <v>AL COSTADO DEL COLEGIO MARÍA AUXILIADORA</v>
          </cell>
          <cell r="K11">
            <v>1</v>
          </cell>
          <cell r="L11">
            <v>1</v>
          </cell>
          <cell r="N11">
            <v>30</v>
          </cell>
          <cell r="O11">
            <v>0</v>
          </cell>
        </row>
        <row r="12">
          <cell r="C12" t="str">
            <v>CHINCHEROS</v>
          </cell>
          <cell r="D12" t="str">
            <v>CHINCHEROS</v>
          </cell>
          <cell r="E12" t="str">
            <v>Quechua Chanka</v>
          </cell>
          <cell r="F12" t="str">
            <v>INSTITUCIÓN EDUCATIVA JOSÉ MARÍA ARGUEDAS</v>
          </cell>
          <cell r="G12" t="str">
            <v>JR. JUAN ESPINOZA MEDRANO S/N</v>
          </cell>
          <cell r="H12" t="str">
            <v>A UNA CUADRA DE LA MUNICIPALIDAD ANCO HUALLO</v>
          </cell>
          <cell r="K12">
            <v>1</v>
          </cell>
          <cell r="L12">
            <v>1</v>
          </cell>
          <cell r="N12">
            <v>30</v>
          </cell>
          <cell r="O12">
            <v>0</v>
          </cell>
        </row>
        <row r="13">
          <cell r="C13" t="str">
            <v>COTABAMBAS</v>
          </cell>
          <cell r="D13" t="str">
            <v>TAMBOBAMBA</v>
          </cell>
          <cell r="E13" t="str">
            <v>Quechua Cusco Collao</v>
          </cell>
          <cell r="F13" t="str">
            <v>UNIVERSIDAD NACIONAL MICAELA BASTIDAS DE APURIMAC</v>
          </cell>
          <cell r="G13" t="str">
            <v>CALLE HAQUIRA S/N</v>
          </cell>
          <cell r="H13" t="str">
            <v>FRENTE AL ISP JOSÉ CARLOS MARIÁTEGUI</v>
          </cell>
          <cell r="K13">
            <v>1</v>
          </cell>
          <cell r="L13">
            <v>1</v>
          </cell>
          <cell r="M13">
            <v>1</v>
          </cell>
          <cell r="N13">
            <v>30</v>
          </cell>
          <cell r="O13">
            <v>30</v>
          </cell>
        </row>
        <row r="14">
          <cell r="C14" t="str">
            <v>GRAU</v>
          </cell>
          <cell r="D14" t="str">
            <v>CHUQUIBAMBILLA</v>
          </cell>
          <cell r="E14" t="str">
            <v>Quechua Cusco Collao</v>
          </cell>
          <cell r="F14" t="str">
            <v>INSTITUCIÓN EDUCATIVA  54385 SEÑOR DE LA EXALTACIÓN</v>
          </cell>
          <cell r="G14" t="str">
            <v xml:space="preserve">CALLE AUGUSTO B. LEGUÍA </v>
          </cell>
          <cell r="H14" t="str">
            <v>AL COSTADO DEL HOTEL DORADO</v>
          </cell>
          <cell r="K14">
            <v>1</v>
          </cell>
          <cell r="L14">
            <v>1</v>
          </cell>
          <cell r="N14">
            <v>30</v>
          </cell>
          <cell r="O14">
            <v>0</v>
          </cell>
        </row>
        <row r="15">
          <cell r="C15" t="str">
            <v>CASTILLA-CONDESUYOS</v>
          </cell>
          <cell r="D15" t="str">
            <v>CASTILLA</v>
          </cell>
          <cell r="E15" t="str">
            <v>Quechua Cusco Collao</v>
          </cell>
          <cell r="F15" t="str">
            <v>INSTITUCIÓN EDUCATIVA  40307 ANGELA RENDON DE SANCHEZ</v>
          </cell>
          <cell r="G15" t="str">
            <v>CALLE JUAN PABLO VIZCARDO Y GUZMAN N° 100 APLAO</v>
          </cell>
          <cell r="H15" t="str">
            <v>FRENTE A LA GOBERNATURA PROVINCIAL CASTILLA - APLAO</v>
          </cell>
          <cell r="K15">
            <v>1</v>
          </cell>
          <cell r="L15">
            <v>1</v>
          </cell>
          <cell r="N15">
            <v>30</v>
          </cell>
          <cell r="O15">
            <v>0</v>
          </cell>
        </row>
        <row r="16">
          <cell r="C16" t="str">
            <v>HUAMANGA-HUANCASANCOS- EIB</v>
          </cell>
          <cell r="D16" t="str">
            <v>AYACUCHO</v>
          </cell>
          <cell r="E16" t="str">
            <v>Quechua Chanka</v>
          </cell>
          <cell r="F16" t="str">
            <v>COLEGIO EMBLEMÁTICO MARISCAL CACERES</v>
          </cell>
          <cell r="G16" t="str">
            <v>AV. INDEPENDENCIA N° 436</v>
          </cell>
          <cell r="H16" t="str">
            <v>FRENTE A LA PUERTA 1 DE LOS MODULOS</v>
          </cell>
          <cell r="J16">
            <v>1</v>
          </cell>
          <cell r="K16">
            <v>2</v>
          </cell>
          <cell r="L16">
            <v>3</v>
          </cell>
          <cell r="N16">
            <v>90</v>
          </cell>
          <cell r="O16">
            <v>0</v>
          </cell>
        </row>
        <row r="17">
          <cell r="C17" t="str">
            <v>HUANTA</v>
          </cell>
          <cell r="D17" t="str">
            <v>HUANTA</v>
          </cell>
          <cell r="E17" t="str">
            <v>Quechua Chanka</v>
          </cell>
          <cell r="F17" t="str">
            <v>COLEGIO EMBLEMÁTICO GONZALES VIGIL</v>
          </cell>
          <cell r="G17" t="str">
            <v>AV. SAN MARTIN S/N</v>
          </cell>
          <cell r="H17" t="str">
            <v>A UNA CUADRA DE LA COMISARIA DE HUANTA</v>
          </cell>
          <cell r="J17">
            <v>1</v>
          </cell>
          <cell r="K17">
            <v>1</v>
          </cell>
          <cell r="L17">
            <v>2</v>
          </cell>
          <cell r="N17">
            <v>60</v>
          </cell>
          <cell r="O17">
            <v>0</v>
          </cell>
        </row>
        <row r="18">
          <cell r="C18" t="str">
            <v>LA CONVENCION (PICHARI)</v>
          </cell>
          <cell r="D18" t="str">
            <v>PICHARI</v>
          </cell>
          <cell r="E18" t="str">
            <v>Quechua Chanka</v>
          </cell>
          <cell r="F18" t="str">
            <v>COLEGIO LA VICTORIA</v>
          </cell>
          <cell r="G18" t="str">
            <v>AV. INCA GARCILAZO DE LA VEGA S/N</v>
          </cell>
          <cell r="H18" t="str">
            <v>COSTADO DE LA MUNICIPALIDAD DE PICHARI</v>
          </cell>
          <cell r="K18">
            <v>1</v>
          </cell>
          <cell r="L18">
            <v>1</v>
          </cell>
          <cell r="N18">
            <v>30</v>
          </cell>
          <cell r="O18">
            <v>0</v>
          </cell>
        </row>
        <row r="19">
          <cell r="C19" t="str">
            <v>LA MAR (TAMBO)</v>
          </cell>
          <cell r="D19" t="str">
            <v>EL TAMBO</v>
          </cell>
          <cell r="E19" t="str">
            <v>Quechua Chanka</v>
          </cell>
          <cell r="F19" t="str">
            <v>INSTITUCIÓN EDUCATIVA  SAN MARTIN DE PORRAS</v>
          </cell>
          <cell r="G19" t="str">
            <v>JR. JOSE GALVEZ S/N</v>
          </cell>
          <cell r="H19" t="str">
            <v>A MEDIA CUADRA DE LA PLAZA PRINCIPAL DE TAMBO</v>
          </cell>
          <cell r="J19">
            <v>1</v>
          </cell>
          <cell r="K19">
            <v>1</v>
          </cell>
          <cell r="L19">
            <v>2</v>
          </cell>
          <cell r="N19">
            <v>60</v>
          </cell>
          <cell r="O19">
            <v>0</v>
          </cell>
        </row>
        <row r="20">
          <cell r="C20" t="str">
            <v>SUCRE-VICTOR FAJARDO</v>
          </cell>
          <cell r="D20" t="str">
            <v>QUEROBAMBA</v>
          </cell>
          <cell r="E20" t="str">
            <v>Quechua Chanka</v>
          </cell>
          <cell r="F20" t="str">
            <v>INSTITUCIÓN EDUCATIVA  FELIPE GUAMAN POMA DE AYALA</v>
          </cell>
          <cell r="G20" t="str">
            <v>JR. MARISCAL CACERES S/N</v>
          </cell>
          <cell r="H20" t="str">
            <v>A DOS CUADRAS DE LA PLAZA PRINCIPAL DE SUCRE</v>
          </cell>
          <cell r="K20">
            <v>1</v>
          </cell>
          <cell r="L20">
            <v>1</v>
          </cell>
          <cell r="N20">
            <v>30</v>
          </cell>
          <cell r="O20">
            <v>0</v>
          </cell>
        </row>
        <row r="21">
          <cell r="C21" t="str">
            <v>VILCAS HUAMAN-CANGALLO</v>
          </cell>
          <cell r="D21" t="str">
            <v>VILCAS HUAMAN</v>
          </cell>
          <cell r="E21" t="str">
            <v>Quechua Chanka</v>
          </cell>
          <cell r="F21" t="str">
            <v>INSTITUCIÓN EDUCATIVA  38142 INCA PACHACUTEC</v>
          </cell>
          <cell r="G21" t="str">
            <v>JR. INCA PACHACUTEC S/N</v>
          </cell>
          <cell r="H21" t="str">
            <v>A DOS CUADRAS DE LA PLAZA PRINCIPAL DE VILCAS HUAMAN</v>
          </cell>
          <cell r="K21">
            <v>1</v>
          </cell>
          <cell r="L21">
            <v>1</v>
          </cell>
          <cell r="N21">
            <v>30</v>
          </cell>
          <cell r="O21">
            <v>0</v>
          </cell>
        </row>
        <row r="22">
          <cell r="C22" t="str">
            <v>ACOMAYO</v>
          </cell>
          <cell r="D22" t="str">
            <v>ACOMAYO</v>
          </cell>
          <cell r="E22" t="str">
            <v>Quechua Cusco Collao</v>
          </cell>
          <cell r="F22" t="str">
            <v>I.E.S.P.P. ACOMAYO</v>
          </cell>
          <cell r="G22" t="str">
            <v>JR. SAN MARTIN</v>
          </cell>
          <cell r="H22" t="str">
            <v>DETRÁS DEL TERMINAL TERRESTRE ACOMAYO</v>
          </cell>
          <cell r="K22">
            <v>1</v>
          </cell>
          <cell r="L22">
            <v>1</v>
          </cell>
          <cell r="N22">
            <v>30</v>
          </cell>
          <cell r="O22">
            <v>0</v>
          </cell>
        </row>
        <row r="23">
          <cell r="C23" t="str">
            <v>ANTA</v>
          </cell>
          <cell r="D23" t="str">
            <v>ANTA</v>
          </cell>
          <cell r="E23" t="str">
            <v>Quechua Cusco Collao</v>
          </cell>
          <cell r="F23" t="str">
            <v>INSTITUCIÓN EDUCATIVA  AGUSTIN GAMARRA</v>
          </cell>
          <cell r="G23" t="str">
            <v>CALLE LIBERTAD S/N</v>
          </cell>
          <cell r="H23" t="str">
            <v>DETRÁS DE LA PLAZA DE ARMAS</v>
          </cell>
          <cell r="K23">
            <v>1</v>
          </cell>
          <cell r="L23">
            <v>1</v>
          </cell>
          <cell r="N23">
            <v>30</v>
          </cell>
          <cell r="O23">
            <v>0</v>
          </cell>
        </row>
        <row r="24">
          <cell r="C24" t="str">
            <v>CALCA</v>
          </cell>
          <cell r="D24" t="str">
            <v>CALCA</v>
          </cell>
          <cell r="E24" t="str">
            <v>Quechua Cusco Collao</v>
          </cell>
          <cell r="F24" t="str">
            <v>INSTITUCIÓN EDUCATIVA NUESTRA SEÑORA DE BELEN</v>
          </cell>
          <cell r="G24" t="str">
            <v>AV. VILCANOTA S/N</v>
          </cell>
          <cell r="H24" t="str">
            <v>A DOS CUADRAS DE LA PLAZA DE ARMAS DE CALCA</v>
          </cell>
          <cell r="K24">
            <v>1</v>
          </cell>
          <cell r="L24">
            <v>1</v>
          </cell>
          <cell r="N24">
            <v>30</v>
          </cell>
          <cell r="O24">
            <v>0</v>
          </cell>
        </row>
        <row r="25">
          <cell r="C25" t="str">
            <v>CANCHIS</v>
          </cell>
          <cell r="D25" t="str">
            <v>SICUANI</v>
          </cell>
          <cell r="E25" t="str">
            <v>Quechua Cusco Collao</v>
          </cell>
          <cell r="F25" t="str">
            <v>INSTITUCIÓN EDUCATIVA  INMACULADA CONCEPCIÓN</v>
          </cell>
          <cell r="G25" t="str">
            <v>AV. CENTERNARIO N° 326</v>
          </cell>
          <cell r="H25" t="str">
            <v>A DOS CUADRAS DE LA UGEL CANCHIS Y FRENTE A LA ESCUELA 791</v>
          </cell>
          <cell r="K25">
            <v>1</v>
          </cell>
          <cell r="L25">
            <v>1</v>
          </cell>
          <cell r="N25">
            <v>30</v>
          </cell>
          <cell r="O25">
            <v>0</v>
          </cell>
        </row>
        <row r="26">
          <cell r="C26" t="str">
            <v>CHUMBIVILCAS</v>
          </cell>
          <cell r="D26" t="str">
            <v>SANTO TOMAS</v>
          </cell>
          <cell r="E26" t="str">
            <v>Quechua Cusco Collao</v>
          </cell>
          <cell r="F26" t="str">
            <v>INSTITUCIÓN EDUCATIVA  57004 ROSA DE AMERICA</v>
          </cell>
          <cell r="G26" t="str">
            <v>CALLE MIRAFLORES N° 208</v>
          </cell>
          <cell r="H26" t="str">
            <v>COSTADO DE LA SUTEP</v>
          </cell>
          <cell r="K26">
            <v>1</v>
          </cell>
          <cell r="L26">
            <v>1</v>
          </cell>
          <cell r="M26">
            <v>1</v>
          </cell>
          <cell r="N26">
            <v>30</v>
          </cell>
          <cell r="O26">
            <v>30</v>
          </cell>
        </row>
        <row r="27">
          <cell r="C27" t="str">
            <v>CUSCO-PARURO P-EIB</v>
          </cell>
          <cell r="D27" t="str">
            <v>CUSCO</v>
          </cell>
          <cell r="E27" t="str">
            <v>Quechua Cusco Collao</v>
          </cell>
          <cell r="F27" t="str">
            <v>INSTITUTO DE EDUCACIÓN SUPERIOR TECNOLÓGICO TÚPAC AMARU</v>
          </cell>
          <cell r="G27" t="str">
            <v>AV. CUSCO  N° 496</v>
          </cell>
          <cell r="H27" t="str">
            <v>ALTURA DEL SEXTO PARADERO SAN SEBASTIÁN - FRENTE AL MERCADO TANKARNIYOC</v>
          </cell>
          <cell r="K27">
            <v>1</v>
          </cell>
          <cell r="L27">
            <v>1</v>
          </cell>
          <cell r="N27">
            <v>30</v>
          </cell>
          <cell r="O27">
            <v>0</v>
          </cell>
        </row>
        <row r="28">
          <cell r="C28" t="str">
            <v>LA CONVENCION (QUILLABAMBA)</v>
          </cell>
          <cell r="D28" t="str">
            <v>SANTA ANA - QUILLABAMBA</v>
          </cell>
          <cell r="E28" t="str">
            <v>Quechua Cusco Collao</v>
          </cell>
          <cell r="F28" t="str">
            <v>INSTITUCIÓN EDUCATIVA  LA CONVENCIÓN</v>
          </cell>
          <cell r="G28" t="str">
            <v>PROLONGACIÓN MARTIN PIO CONCHA</v>
          </cell>
          <cell r="H28" t="str">
            <v>FRENTE AL ISEPP QUILLABAMBA</v>
          </cell>
          <cell r="K28">
            <v>1</v>
          </cell>
          <cell r="L28">
            <v>1</v>
          </cell>
          <cell r="N28">
            <v>30</v>
          </cell>
          <cell r="O28">
            <v>0</v>
          </cell>
        </row>
        <row r="29">
          <cell r="C29" t="str">
            <v>PAUCARTAMBO</v>
          </cell>
          <cell r="D29" t="str">
            <v>PAUCARTAMBO</v>
          </cell>
          <cell r="E29" t="str">
            <v>Quechua Cusco Collao</v>
          </cell>
          <cell r="F29" t="str">
            <v>INSTITUCIÓN EDUCATIVA  JOSE PEREZ Y ARMENDARIZ</v>
          </cell>
          <cell r="G29" t="str">
            <v>AV. ENRIQUE YABAR S/N</v>
          </cell>
          <cell r="H29" t="str">
            <v>AL LADO DE LA POSTA DE SALUD DE PAUCARTAMBO</v>
          </cell>
          <cell r="K29">
            <v>1</v>
          </cell>
          <cell r="L29">
            <v>1</v>
          </cell>
          <cell r="M29">
            <v>1</v>
          </cell>
          <cell r="N29">
            <v>30</v>
          </cell>
          <cell r="O29">
            <v>30</v>
          </cell>
        </row>
        <row r="30">
          <cell r="C30" t="str">
            <v>QUISPICANCHI</v>
          </cell>
          <cell r="D30" t="str">
            <v>URCOS</v>
          </cell>
          <cell r="E30" t="str">
            <v>Quechua Cusco Collao</v>
          </cell>
          <cell r="F30" t="str">
            <v>INSTITUCIÓN EDUCATIVA  NUESTRA SEÑORA DEL CARMEN</v>
          </cell>
          <cell r="G30" t="str">
            <v>JR. ALMIRANTE MIGUEL GRAU S/N</v>
          </cell>
          <cell r="H30" t="str">
            <v>AL COSTADO DEL TEMPLO DE URCOS</v>
          </cell>
          <cell r="K30">
            <v>1</v>
          </cell>
          <cell r="L30">
            <v>1</v>
          </cell>
          <cell r="M30">
            <v>1</v>
          </cell>
          <cell r="N30">
            <v>30</v>
          </cell>
          <cell r="O30">
            <v>30</v>
          </cell>
        </row>
        <row r="31">
          <cell r="C31" t="str">
            <v>URUBAMBA</v>
          </cell>
          <cell r="D31" t="str">
            <v>URUBAMBA</v>
          </cell>
          <cell r="E31" t="str">
            <v>Quechua Cusco Collao</v>
          </cell>
          <cell r="F31" t="str">
            <v>INSTITUCIÓN EDUCATIVA  N° 51031</v>
          </cell>
          <cell r="G31" t="str">
            <v>CALLE MARISCAL CASTILLA S/N CON PROLONGACIÓN COMERCIO</v>
          </cell>
          <cell r="H31" t="str">
            <v>A UNA CUADRA DE CAJA CUSCO</v>
          </cell>
          <cell r="K31">
            <v>1</v>
          </cell>
          <cell r="L31">
            <v>1</v>
          </cell>
          <cell r="N31">
            <v>30</v>
          </cell>
          <cell r="O31">
            <v>0</v>
          </cell>
        </row>
        <row r="32">
          <cell r="C32" t="str">
            <v>ACOBAMBA</v>
          </cell>
          <cell r="D32" t="str">
            <v>ACOBAMBA</v>
          </cell>
          <cell r="E32" t="str">
            <v>Quechua Chanka</v>
          </cell>
          <cell r="F32" t="str">
            <v>INSTITUCIÓN EDUCATIVA  SAN FRANCISCO DE ASIS</v>
          </cell>
          <cell r="G32" t="str">
            <v>AV. MANUEL CANDAMO S/N - ACOBAMBA</v>
          </cell>
          <cell r="H32" t="str">
            <v>A UNA CUADRA DEL HOSPITAL PROVINCIAL DE ACOBAMBA</v>
          </cell>
          <cell r="K32">
            <v>1</v>
          </cell>
          <cell r="L32">
            <v>1</v>
          </cell>
          <cell r="N32">
            <v>30</v>
          </cell>
          <cell r="O32">
            <v>0</v>
          </cell>
        </row>
        <row r="33">
          <cell r="C33" t="str">
            <v>ANGARAES</v>
          </cell>
          <cell r="D33" t="str">
            <v>LIRCAY</v>
          </cell>
          <cell r="E33" t="str">
            <v>Quechua Chanka</v>
          </cell>
          <cell r="F33" t="str">
            <v>INSTITUCIÓN EDUCATIVA  N° 36214 ALBERT EINSTEIN</v>
          </cell>
          <cell r="G33" t="str">
            <v>AV. ESMERALDA S/N - BELLAVISTA - LIRCAY</v>
          </cell>
          <cell r="H33" t="str">
            <v>A UNA CUADRA DEL HOSPITAL PROVINCIAL DE LIRCAY</v>
          </cell>
          <cell r="K33">
            <v>1</v>
          </cell>
          <cell r="L33">
            <v>1</v>
          </cell>
          <cell r="M33">
            <v>1</v>
          </cell>
          <cell r="N33">
            <v>30</v>
          </cell>
          <cell r="O33">
            <v>30</v>
          </cell>
        </row>
        <row r="34">
          <cell r="C34" t="str">
            <v>CHURCAMPA</v>
          </cell>
          <cell r="D34" t="str">
            <v>CHURCAMPA</v>
          </cell>
          <cell r="E34" t="str">
            <v>Quechua Chanka</v>
          </cell>
          <cell r="F34" t="str">
            <v>INSTITUTO DE EDUCACIÓN SUPERIOR TECNOLÓGICO PÚBLICO DE CHURCAMPA</v>
          </cell>
          <cell r="G34" t="str">
            <v>AV. CULTURA N° 180 - CHURCAMPA</v>
          </cell>
          <cell r="H34" t="str">
            <v>A MEDIA CUADRA DE LA UGEL CHURCAMPA</v>
          </cell>
          <cell r="K34">
            <v>1</v>
          </cell>
          <cell r="L34">
            <v>1</v>
          </cell>
          <cell r="N34">
            <v>30</v>
          </cell>
          <cell r="O34">
            <v>0</v>
          </cell>
        </row>
        <row r="35">
          <cell r="C35" t="str">
            <v>HUANCAVELICA EIB</v>
          </cell>
          <cell r="D35" t="str">
            <v>HUANCAVELICA</v>
          </cell>
          <cell r="E35" t="str">
            <v>Quechua Chanka</v>
          </cell>
          <cell r="F35" t="str">
            <v>INSTITUCIÓN EDUCATIVA EMBLEMÁTICA FRANCISCA DIEZ CANSECO DE CASTILLA</v>
          </cell>
          <cell r="G35" t="str">
            <v xml:space="preserve">PARQUE PLAZOLETA BOLOGNESI S/N </v>
          </cell>
          <cell r="H35" t="str">
            <v>AL FRENTE DEL PARQUE PLAZOLETA BOLOGNESI</v>
          </cell>
          <cell r="K35">
            <v>1</v>
          </cell>
          <cell r="L35">
            <v>1</v>
          </cell>
          <cell r="M35">
            <v>1</v>
          </cell>
          <cell r="N35">
            <v>30</v>
          </cell>
          <cell r="O35">
            <v>30</v>
          </cell>
        </row>
        <row r="36">
          <cell r="C36" t="str">
            <v>TAYACAJA</v>
          </cell>
          <cell r="D36" t="str">
            <v>PAMPAS</v>
          </cell>
          <cell r="E36" t="str">
            <v>Quechua Chanka</v>
          </cell>
          <cell r="F36" t="str">
            <v>INSTITUCIÓN EDUCATIVA  MARISCAL CACERES</v>
          </cell>
          <cell r="G36" t="str">
            <v>JR. JOSE OLAYA S/N - DANIEL HERNANDEZ</v>
          </cell>
          <cell r="H36" t="str">
            <v>SALIDA DE LA CARRETERA HACIA ATOCC</v>
          </cell>
          <cell r="K36">
            <v>1</v>
          </cell>
          <cell r="L36">
            <v>1</v>
          </cell>
          <cell r="N36">
            <v>30</v>
          </cell>
          <cell r="O36">
            <v>0</v>
          </cell>
        </row>
        <row r="37">
          <cell r="C37" t="str">
            <v>LUCANAS</v>
          </cell>
          <cell r="D37" t="str">
            <v>PUQUIO</v>
          </cell>
          <cell r="E37" t="str">
            <v>Quechua Chanka</v>
          </cell>
          <cell r="F37" t="str">
            <v>INSTITUCIÓN EDUCATIVA NUESTRA SEÑORA DEL PERPETUO SOCORRO</v>
          </cell>
          <cell r="G37" t="str">
            <v>JR. 9 DE DICIEMBRE S/N</v>
          </cell>
          <cell r="H37" t="str">
            <v>A DOS CUADRAS DE LA PLAZA DE ARMAS</v>
          </cell>
          <cell r="K37">
            <v>1</v>
          </cell>
          <cell r="L37">
            <v>1</v>
          </cell>
          <cell r="N37">
            <v>30</v>
          </cell>
          <cell r="O37">
            <v>0</v>
          </cell>
        </row>
        <row r="38">
          <cell r="C38" t="str">
            <v>CHANCHAMAYO</v>
          </cell>
          <cell r="D38" t="str">
            <v>PERENE</v>
          </cell>
          <cell r="E38" t="str">
            <v>Ashaninka</v>
          </cell>
          <cell r="F38" t="str">
            <v>INSTITUCIÓN EDUCATIVA  PUCHARINI</v>
          </cell>
          <cell r="G38" t="str">
            <v xml:space="preserve">CARRETERA MARGINAL KM. 53 S/N </v>
          </cell>
          <cell r="H38" t="str">
            <v>A DOS CUADRAS DE LA IGLESIA ADVENTISTA DEL SEPTIMO DIA PUCHARINI</v>
          </cell>
          <cell r="I38">
            <v>1</v>
          </cell>
          <cell r="K38">
            <v>2</v>
          </cell>
          <cell r="L38">
            <v>3</v>
          </cell>
          <cell r="N38">
            <v>90</v>
          </cell>
          <cell r="O38">
            <v>0</v>
          </cell>
        </row>
        <row r="39">
          <cell r="C39" t="str">
            <v>SATIPO EIB</v>
          </cell>
          <cell r="D39" t="str">
            <v>SATIPO</v>
          </cell>
          <cell r="E39" t="str">
            <v>Ashaninka</v>
          </cell>
          <cell r="F39" t="str">
            <v>INSTITUCION EDUCATIVA PRIVADA  ALBERT EINSTEIN</v>
          </cell>
          <cell r="G39" t="str">
            <v>JR. LOS COLONOS FUNDADORES CUADRA 3 S/N</v>
          </cell>
          <cell r="H39" t="str">
            <v>A UNA CUADRA DEL PARQUE DE SATIPO</v>
          </cell>
          <cell r="K39">
            <v>6</v>
          </cell>
          <cell r="L39">
            <v>6</v>
          </cell>
          <cell r="N39">
            <v>180</v>
          </cell>
          <cell r="O39">
            <v>0</v>
          </cell>
        </row>
        <row r="40">
          <cell r="C40" t="str">
            <v>SATIPO EIB</v>
          </cell>
          <cell r="D40" t="str">
            <v>SATIPO PUERTO OCOPA RIO TAMBO</v>
          </cell>
          <cell r="E40" t="str">
            <v>SATIPO EIB</v>
          </cell>
          <cell r="F40" t="str">
            <v>IESTP ASHANINKA</v>
          </cell>
          <cell r="G40" t="str">
            <v>COMUNIDAD NATIVA PUERTO OCOPA S/N</v>
          </cell>
          <cell r="H40" t="str">
            <v>FRENTE AL ESTADIO DE PUERTO OCOPA</v>
          </cell>
          <cell r="K40">
            <v>2</v>
          </cell>
          <cell r="L40">
            <v>2</v>
          </cell>
          <cell r="N40">
            <v>60</v>
          </cell>
          <cell r="O40">
            <v>0</v>
          </cell>
        </row>
        <row r="41">
          <cell r="C41" t="str">
            <v>OXAPAMPA (PUERTO BERMUDEZ)</v>
          </cell>
          <cell r="D41" t="str">
            <v>PUERTO BERMUDEZ</v>
          </cell>
          <cell r="E41" t="str">
            <v>Ashaninka</v>
          </cell>
          <cell r="F41" t="str">
            <v>INSTITUTO SUPERIOR PEDAGÓGICO PÚBLICO " FRAY ANGEL JOSE AZAGRA MURILLO"</v>
          </cell>
          <cell r="G41" t="str">
            <v>KILOMETRO 01 AV. PUERTO BERMUDEZ S/N</v>
          </cell>
          <cell r="H41" t="str">
            <v>A LA ENTRADA DE PUERTO BERMUDEZ (ARCO DE BIENVENIDA A PUERTO BERMUDEZ)</v>
          </cell>
          <cell r="K41">
            <v>3</v>
          </cell>
          <cell r="M41">
            <v>3</v>
          </cell>
          <cell r="N41">
            <v>0</v>
          </cell>
          <cell r="O41">
            <v>90</v>
          </cell>
        </row>
        <row r="42">
          <cell r="C42" t="str">
            <v>AZANGARO</v>
          </cell>
          <cell r="D42" t="str">
            <v>AZANGARO</v>
          </cell>
          <cell r="E42" t="str">
            <v>Quechua Cusco Collao</v>
          </cell>
          <cell r="F42" t="str">
            <v>INSTITUCIÓN EDUCATIVA SECUNDARIA INA 21 JOSÉ DOMINGO CHOQUEHUANCA</v>
          </cell>
          <cell r="G42" t="str">
            <v>JR. LIMA N° 750</v>
          </cell>
          <cell r="H42" t="str">
            <v>AL COSTADO DE LA UGEL AZÁNGARO (BARRIO CULTURAL PUENTE)</v>
          </cell>
          <cell r="K42">
            <v>1</v>
          </cell>
          <cell r="L42">
            <v>1</v>
          </cell>
          <cell r="N42">
            <v>30</v>
          </cell>
          <cell r="O42">
            <v>0</v>
          </cell>
        </row>
        <row r="43">
          <cell r="C43" t="str">
            <v>CARABAYA</v>
          </cell>
          <cell r="D43" t="str">
            <v>MACUSANI</v>
          </cell>
          <cell r="E43" t="str">
            <v>Quechua Cusco Collao</v>
          </cell>
          <cell r="F43" t="str">
            <v>INSTITUCIÓN EDUCATIVA SECUNDARIA JULIO GAVANCHO ENRIQUEZ</v>
          </cell>
          <cell r="G43" t="str">
            <v>JR. ALLINCAPAC N° 503</v>
          </cell>
          <cell r="H43" t="str">
            <v>A DOS CUADRAS DEL COLISEO CERRADO</v>
          </cell>
          <cell r="K43">
            <v>1</v>
          </cell>
          <cell r="L43">
            <v>1</v>
          </cell>
          <cell r="N43">
            <v>30</v>
          </cell>
          <cell r="O43">
            <v>0</v>
          </cell>
        </row>
        <row r="44">
          <cell r="C44" t="str">
            <v>CHUCUITO-YUNGUYO</v>
          </cell>
          <cell r="D44" t="str">
            <v>CHUCUITO</v>
          </cell>
          <cell r="E44" t="str">
            <v>Aimara</v>
          </cell>
          <cell r="F44" t="str">
            <v>INSTITUCIÓN EDUCATIVA SECUNDARIA EMBLEMÁTICO TELESFORO CATACORA</v>
          </cell>
          <cell r="G44" t="str">
            <v>JR. BERTONIO N° 275</v>
          </cell>
          <cell r="H44" t="str">
            <v>AL FRENTE DEL TEMPLO SAN JUAN DE LETRAN DE JULI</v>
          </cell>
          <cell r="K44">
            <v>6</v>
          </cell>
          <cell r="M44">
            <v>6</v>
          </cell>
          <cell r="N44">
            <v>0</v>
          </cell>
          <cell r="O44">
            <v>180</v>
          </cell>
        </row>
        <row r="45">
          <cell r="C45" t="str">
            <v>EL COLLAO</v>
          </cell>
          <cell r="D45" t="str">
            <v>ILAVE</v>
          </cell>
          <cell r="E45" t="str">
            <v>Aimara</v>
          </cell>
          <cell r="F45" t="str">
            <v>INSTITUCIÓN EDUCATIVA SECUNDARIA JOSÉ CARLOS MARIATEGUI</v>
          </cell>
          <cell r="G45" t="str">
            <v>JR. ICA N° 510</v>
          </cell>
          <cell r="H45" t="str">
            <v>AL COSTADO DE LA CARRETERA PANAMERICANA SUR</v>
          </cell>
          <cell r="K45">
            <v>4</v>
          </cell>
          <cell r="M45">
            <v>4</v>
          </cell>
          <cell r="N45">
            <v>0</v>
          </cell>
          <cell r="O45">
            <v>120</v>
          </cell>
        </row>
        <row r="46">
          <cell r="C46" t="str">
            <v>HUANCANE-MOHO-SAN ANTONIO DE PUTINA</v>
          </cell>
          <cell r="D46" t="str">
            <v>HUANCANE</v>
          </cell>
          <cell r="E46" t="str">
            <v>Aimara</v>
          </cell>
          <cell r="F46" t="str">
            <v>INSTITUTO DE EDUCACIÓN SUPERIOR CESAR VALLEJO</v>
          </cell>
          <cell r="G46" t="str">
            <v>AV. CASTRO S/N</v>
          </cell>
          <cell r="H46" t="str">
            <v>A TRES CUADRAS DEL MERCADO HUANCANÉ</v>
          </cell>
          <cell r="K46">
            <v>4</v>
          </cell>
          <cell r="M46">
            <v>4</v>
          </cell>
          <cell r="N46">
            <v>0</v>
          </cell>
          <cell r="O46">
            <v>120</v>
          </cell>
        </row>
        <row r="47">
          <cell r="C47" t="str">
            <v>MELGAR-LAMPA</v>
          </cell>
          <cell r="D47" t="str">
            <v>AYAVIRI</v>
          </cell>
          <cell r="E47" t="str">
            <v>Quechua Cusco Collao</v>
          </cell>
          <cell r="F47" t="str">
            <v>INSTITUTO DE EDUCACIÓN SUPERIOR MARIANO MELGAR</v>
          </cell>
          <cell r="G47" t="str">
            <v>AV. PEDRO VILCAPAZA N° 255 AYAVIRI</v>
          </cell>
          <cell r="H47" t="str">
            <v>FRENTE A LA AGENCIA AGRARIA AYAVIRI POR LA LINEA FÉRREA</v>
          </cell>
          <cell r="K47">
            <v>1</v>
          </cell>
          <cell r="L47">
            <v>1</v>
          </cell>
          <cell r="N47">
            <v>30</v>
          </cell>
          <cell r="O47">
            <v>0</v>
          </cell>
        </row>
        <row r="48">
          <cell r="C48" t="str">
            <v>PUNO</v>
          </cell>
          <cell r="D48" t="str">
            <v>PUNO</v>
          </cell>
          <cell r="E48" t="str">
            <v>Aimara</v>
          </cell>
          <cell r="F48" t="str">
            <v>INSTITUCIÓN EDUCATIVA SECUNDARIA SANTA ROSA</v>
          </cell>
          <cell r="G48" t="str">
            <v>JR. PUNO S/N</v>
          </cell>
          <cell r="H48" t="str">
            <v>AL FRENTE DEL PARQUE SAN ROMAN</v>
          </cell>
          <cell r="K48">
            <v>3</v>
          </cell>
          <cell r="M48">
            <v>3</v>
          </cell>
          <cell r="N48">
            <v>0</v>
          </cell>
          <cell r="O48">
            <v>90</v>
          </cell>
        </row>
        <row r="49">
          <cell r="C49" t="str">
            <v>SAN ROMAN P-EIB</v>
          </cell>
          <cell r="D49" t="str">
            <v>JULIACA</v>
          </cell>
          <cell r="E49" t="str">
            <v>Quechua Cusco Collao</v>
          </cell>
          <cell r="F49" t="str">
            <v>INSTITUCIÓN EDUCATIVA SECUNDARIA GRAN UNIDAD ESCOLAR JOSÉ ANTONIO ENCINAS</v>
          </cell>
          <cell r="G49" t="str">
            <v>JR. LAMBAYEQUE S/N</v>
          </cell>
          <cell r="H49" t="str">
            <v>A UNA CUADRA DEL MERCADO TUPAC AMARU</v>
          </cell>
          <cell r="K49">
            <v>1</v>
          </cell>
          <cell r="L49">
            <v>1</v>
          </cell>
          <cell r="N49">
            <v>30</v>
          </cell>
          <cell r="O49">
            <v>0</v>
          </cell>
        </row>
        <row r="50">
          <cell r="C50" t="str">
            <v>SANDIA</v>
          </cell>
          <cell r="D50" t="str">
            <v>SANDIA</v>
          </cell>
          <cell r="E50" t="str">
            <v>Quechua Cusco Collao</v>
          </cell>
          <cell r="F50" t="str">
            <v>INSTITUCIÓN EDUCATIVA PÚBLICA 73005</v>
          </cell>
          <cell r="G50" t="str">
            <v>JR. GARCILAZO DE LA VEGA S/N</v>
          </cell>
          <cell r="H50" t="str">
            <v>AL COSTADO DEL PODER JUDICIAL</v>
          </cell>
          <cell r="K50">
            <v>1</v>
          </cell>
          <cell r="M50">
            <v>1</v>
          </cell>
          <cell r="N50">
            <v>0</v>
          </cell>
          <cell r="O50">
            <v>30</v>
          </cell>
        </row>
        <row r="51">
          <cell r="C51" t="str">
            <v>MOYOBAMBA</v>
          </cell>
          <cell r="D51" t="str">
            <v>MOYOBAMBA</v>
          </cell>
          <cell r="E51" t="str">
            <v>Awajún</v>
          </cell>
          <cell r="F51" t="str">
            <v>INSTITUCION EDUCATIVA  ÁREAS TÉCNICAS “JESÚS ALBERTO MIRANDA CALLE”</v>
          </cell>
          <cell r="G51" t="str">
            <v>JR. PEDRO PASCASIO NORIEGA N°196</v>
          </cell>
          <cell r="H51" t="str">
            <v>A UNA CUADRA DEL COAR</v>
          </cell>
          <cell r="K51">
            <v>1</v>
          </cell>
          <cell r="L51">
            <v>1</v>
          </cell>
          <cell r="N51">
            <v>30</v>
          </cell>
          <cell r="O51">
            <v>0</v>
          </cell>
        </row>
        <row r="52">
          <cell r="C52" t="str">
            <v>RIOJA</v>
          </cell>
          <cell r="D52" t="str">
            <v>RIOJA</v>
          </cell>
          <cell r="E52" t="str">
            <v>Awajún</v>
          </cell>
          <cell r="F52" t="str">
            <v>INSTITUCIÓN EDUCATIVA SANTO TORIBIO</v>
          </cell>
          <cell r="G52" t="str">
            <v>JR. SANTO TORIBIO C18</v>
          </cell>
          <cell r="H52" t="str">
            <v>FRENTE DE LA CANCHA SINTETICA LA BOMBONERA</v>
          </cell>
          <cell r="K52">
            <v>1</v>
          </cell>
          <cell r="L52">
            <v>1</v>
          </cell>
          <cell r="N52">
            <v>30</v>
          </cell>
          <cell r="O52">
            <v>0</v>
          </cell>
        </row>
        <row r="53">
          <cell r="C53" t="str">
            <v>DATEM DEL MARAÑON EIB</v>
          </cell>
          <cell r="D53" t="str">
            <v>BARRANCA</v>
          </cell>
          <cell r="E53" t="str">
            <v>Awajún</v>
          </cell>
          <cell r="F53" t="str">
            <v>INSTITUCIÓN EDUCATIVA N° 62032 ARSENIO SANTILLÁN PEÑA</v>
          </cell>
          <cell r="G53" t="str">
            <v>CALLE AMAZONAS N° 490</v>
          </cell>
          <cell r="H53" t="str">
            <v>FRENTE DE LA PLAZA INTERCULTURAL</v>
          </cell>
          <cell r="I53">
            <v>1</v>
          </cell>
          <cell r="K53">
            <v>1</v>
          </cell>
          <cell r="M53">
            <v>2</v>
          </cell>
          <cell r="N53">
            <v>0</v>
          </cell>
          <cell r="O53">
            <v>60</v>
          </cell>
        </row>
        <row r="54">
          <cell r="C54" t="str">
            <v>ATALAYA EIB</v>
          </cell>
          <cell r="D54" t="str">
            <v>ATALAYA</v>
          </cell>
          <cell r="E54" t="str">
            <v>Shipibo- Konibo</v>
          </cell>
          <cell r="F54" t="str">
            <v>INSTITUCIÓN EDUCATIVA MARISCAL CÁCERES</v>
          </cell>
          <cell r="G54" t="str">
            <v>JR. MIGUEL GRAU S/N</v>
          </cell>
          <cell r="H54" t="str">
            <v>AL COSTADO DE LA INSTITUCIÓN EDUCATIVA ANGEL ARELLANO</v>
          </cell>
          <cell r="K54">
            <v>1</v>
          </cell>
          <cell r="L54">
            <v>1</v>
          </cell>
          <cell r="N54">
            <v>30</v>
          </cell>
          <cell r="O54">
            <v>0</v>
          </cell>
        </row>
        <row r="55">
          <cell r="C55" t="str">
            <v>CORONEL PORTILLO-PURUS EIB</v>
          </cell>
          <cell r="D55" t="str">
            <v>PUCALLPA</v>
          </cell>
          <cell r="E55" t="str">
            <v>Shipibo- Konibo</v>
          </cell>
          <cell r="F55" t="str">
            <v>INSTITUCIÓN EDUCATIVA MARGARITA A. AGUILAR A.</v>
          </cell>
          <cell r="G55" t="str">
            <v xml:space="preserve">JR. AMAZONAS SN CUADRA 04 </v>
          </cell>
          <cell r="H55" t="str">
            <v>A TRES CUADRAS DE LA SEDE PROVINCIAL</v>
          </cell>
          <cell r="J55">
            <v>1</v>
          </cell>
          <cell r="K55">
            <v>3</v>
          </cell>
          <cell r="L55">
            <v>4</v>
          </cell>
          <cell r="M55">
            <v>3</v>
          </cell>
          <cell r="N55">
            <v>120</v>
          </cell>
          <cell r="O55">
            <v>90</v>
          </cell>
        </row>
        <row r="56">
          <cell r="C56" t="str">
            <v>PADRE ABAD</v>
          </cell>
          <cell r="D56" t="str">
            <v>AGUAYTÍA</v>
          </cell>
          <cell r="E56" t="str">
            <v>Shipibo- Konibo</v>
          </cell>
          <cell r="F56" t="str">
            <v>I.E.I JOSE CARLOS MARIATEGUI</v>
          </cell>
          <cell r="G56" t="str">
            <v>JR. RÍO NEGRO N° 345</v>
          </cell>
          <cell r="H56" t="str">
            <v>A UNA CUADRA DE LA PLAZA MAYOR</v>
          </cell>
          <cell r="K56">
            <v>1</v>
          </cell>
          <cell r="L56">
            <v>1</v>
          </cell>
          <cell r="N56">
            <v>30</v>
          </cell>
          <cell r="O56">
            <v>0</v>
          </cell>
        </row>
        <row r="57">
          <cell r="C57" t="str">
            <v>UCAYALI</v>
          </cell>
          <cell r="D57" t="str">
            <v>CONTAMANA</v>
          </cell>
          <cell r="E57" t="str">
            <v>Shipibo- Konibo</v>
          </cell>
          <cell r="F57" t="str">
            <v>INSTITUCIÓN EDUCATIVA EMBLEMÁTICA GENARO HERRERA</v>
          </cell>
          <cell r="G57" t="str">
            <v xml:space="preserve">CALLE MOISES RENGIFO S/N </v>
          </cell>
          <cell r="H57" t="str">
            <v>FRENTE A LA GERENCIA SUB REGIONAL DE UCAYALI</v>
          </cell>
          <cell r="K57">
            <v>2</v>
          </cell>
          <cell r="L57">
            <v>2</v>
          </cell>
          <cell r="M57">
            <v>1</v>
          </cell>
          <cell r="N57">
            <v>60</v>
          </cell>
          <cell r="O57">
            <v>30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DISTRIBUCIÓN POR SEDES"/>
      <sheetName val="RESUMEN OPERATIVOS"/>
      <sheetName val="RESUMEN"/>
      <sheetName val="RA A CONTRATAR Y CAPACITAR"/>
      <sheetName val="muestra"/>
      <sheetName val="cant Aplicadores PILOTO"/>
      <sheetName val="Hoja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LAS CS -SPA limaycallao"/>
      <sheetName val="RANKING TAP"/>
      <sheetName val="backup final"/>
      <sheetName val="Hoja4"/>
      <sheetName val="Hoja6"/>
      <sheetName val="Hoja7"/>
      <sheetName val="Hoja8"/>
      <sheetName val="Hoja9"/>
      <sheetName val="Hoja10"/>
      <sheetName val="TABLA_DINAMICA"/>
      <sheetName val="Hoja13"/>
      <sheetName val="Hoja18"/>
      <sheetName val="LOCAL ID 3 Y 4"/>
      <sheetName val="Hoja14"/>
      <sheetName val="Hoja1"/>
      <sheetName val="MARCO"/>
      <sheetName val="Org. Lima - Callao y ODEIs"/>
      <sheetName val="SEDE_REGIONAL"/>
      <sheetName val="SEDE_PROVINCIAL"/>
      <sheetName val="LOCAL"/>
      <sheetName val="CARGO"/>
      <sheetName val="HORARIO"/>
      <sheetName val="PRUEBA 2"/>
      <sheetName val="RA A Contratar y Capacitar"/>
      <sheetName val="Modulado APK APA  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G2" t="str">
            <v>71562254</v>
          </cell>
          <cell r="H2" t="str">
            <v>916047868</v>
          </cell>
          <cell r="I2">
            <v>17</v>
          </cell>
          <cell r="J2" t="str">
            <v>2</v>
          </cell>
          <cell r="K2" t="str">
            <v>RESERVA</v>
          </cell>
          <cell r="L2" t="str">
            <v>R1</v>
          </cell>
          <cell r="M2">
            <v>99</v>
          </cell>
        </row>
        <row r="3">
          <cell r="G3" t="str">
            <v>71114219</v>
          </cell>
          <cell r="H3" t="str">
            <v>935860534</v>
          </cell>
          <cell r="I3">
            <v>19</v>
          </cell>
          <cell r="J3" t="str">
            <v>2</v>
          </cell>
          <cell r="K3" t="str">
            <v>RESERVA</v>
          </cell>
          <cell r="L3" t="str">
            <v>R1</v>
          </cell>
          <cell r="M3">
            <v>99</v>
          </cell>
        </row>
        <row r="4">
          <cell r="G4" t="str">
            <v>71311594</v>
          </cell>
          <cell r="H4" t="str">
            <v>918551979</v>
          </cell>
          <cell r="I4">
            <v>29</v>
          </cell>
          <cell r="J4" t="str">
            <v>2</v>
          </cell>
          <cell r="K4" t="str">
            <v>RESERVA</v>
          </cell>
          <cell r="L4" t="str">
            <v>R1</v>
          </cell>
          <cell r="M4">
            <v>99</v>
          </cell>
        </row>
        <row r="5">
          <cell r="G5" t="str">
            <v>33782020</v>
          </cell>
          <cell r="H5" t="str">
            <v>923926014</v>
          </cell>
          <cell r="I5">
            <v>12</v>
          </cell>
          <cell r="J5" t="str">
            <v>2</v>
          </cell>
          <cell r="K5" t="str">
            <v>RESERVA</v>
          </cell>
          <cell r="L5" t="str">
            <v>R1</v>
          </cell>
          <cell r="M5">
            <v>99</v>
          </cell>
        </row>
        <row r="6">
          <cell r="G6" t="str">
            <v>42490911</v>
          </cell>
          <cell r="H6" t="str">
            <v>935597571</v>
          </cell>
          <cell r="I6">
            <v>24</v>
          </cell>
          <cell r="J6" t="str">
            <v>2</v>
          </cell>
          <cell r="K6" t="str">
            <v>RESERVA</v>
          </cell>
          <cell r="L6" t="str">
            <v>R1</v>
          </cell>
          <cell r="M6">
            <v>99</v>
          </cell>
        </row>
        <row r="7">
          <cell r="G7" t="str">
            <v>45197870</v>
          </cell>
          <cell r="H7" t="str">
            <v>981151704</v>
          </cell>
          <cell r="I7">
            <v>28</v>
          </cell>
          <cell r="J7" t="str">
            <v>2</v>
          </cell>
          <cell r="K7" t="str">
            <v>RESERVA</v>
          </cell>
          <cell r="L7" t="str">
            <v>R1</v>
          </cell>
          <cell r="M7">
            <v>99</v>
          </cell>
        </row>
        <row r="8">
          <cell r="G8" t="str">
            <v>43829573</v>
          </cell>
          <cell r="H8" t="str">
            <v>916690967</v>
          </cell>
          <cell r="I8">
            <v>25</v>
          </cell>
          <cell r="J8" t="str">
            <v>2</v>
          </cell>
          <cell r="K8" t="str">
            <v>RESERVA</v>
          </cell>
          <cell r="L8" t="str">
            <v>R1</v>
          </cell>
          <cell r="M8">
            <v>99</v>
          </cell>
        </row>
        <row r="9">
          <cell r="G9" t="str">
            <v>72688653</v>
          </cell>
          <cell r="H9" t="str">
            <v>956950257</v>
          </cell>
          <cell r="I9">
            <v>20</v>
          </cell>
          <cell r="J9" t="str">
            <v>2</v>
          </cell>
          <cell r="K9" t="str">
            <v>RESERVA</v>
          </cell>
          <cell r="L9" t="str">
            <v>R1</v>
          </cell>
          <cell r="M9">
            <v>99</v>
          </cell>
        </row>
        <row r="10">
          <cell r="G10" t="str">
            <v>73229286</v>
          </cell>
          <cell r="H10" t="str">
            <v>943612021</v>
          </cell>
          <cell r="I10">
            <v>13</v>
          </cell>
          <cell r="J10" t="str">
            <v>2</v>
          </cell>
          <cell r="K10" t="str">
            <v>RESERVA</v>
          </cell>
          <cell r="L10" t="str">
            <v>R1</v>
          </cell>
          <cell r="M10">
            <v>99</v>
          </cell>
        </row>
        <row r="11">
          <cell r="G11" t="str">
            <v>41538864</v>
          </cell>
          <cell r="H11" t="str">
            <v>927931344</v>
          </cell>
          <cell r="I11">
            <v>22</v>
          </cell>
          <cell r="J11" t="str">
            <v>2</v>
          </cell>
          <cell r="K11" t="str">
            <v>RESERVA</v>
          </cell>
          <cell r="L11" t="str">
            <v>R1</v>
          </cell>
          <cell r="M11">
            <v>99</v>
          </cell>
        </row>
        <row r="12">
          <cell r="G12" t="str">
            <v>72261601</v>
          </cell>
          <cell r="H12" t="str">
            <v>904516853</v>
          </cell>
          <cell r="I12">
            <v>11</v>
          </cell>
          <cell r="J12" t="str">
            <v>2</v>
          </cell>
          <cell r="K12" t="str">
            <v>APTO A CAPACITACION</v>
          </cell>
          <cell r="L12">
            <v>3</v>
          </cell>
          <cell r="M12">
            <v>1</v>
          </cell>
        </row>
        <row r="13">
          <cell r="G13" t="str">
            <v>42752965</v>
          </cell>
          <cell r="H13" t="str">
            <v>920058676</v>
          </cell>
          <cell r="I13">
            <v>26</v>
          </cell>
          <cell r="J13" t="str">
            <v>2</v>
          </cell>
          <cell r="K13" t="str">
            <v>RESERVA</v>
          </cell>
          <cell r="L13" t="str">
            <v>R1</v>
          </cell>
          <cell r="M13">
            <v>99</v>
          </cell>
        </row>
        <row r="14">
          <cell r="G14" t="str">
            <v>45342936</v>
          </cell>
          <cell r="H14" t="str">
            <v>939408001</v>
          </cell>
          <cell r="I14">
            <v>10</v>
          </cell>
          <cell r="J14" t="str">
            <v>2</v>
          </cell>
          <cell r="K14" t="str">
            <v>APTO A CAPACITACION</v>
          </cell>
          <cell r="L14">
            <v>3</v>
          </cell>
          <cell r="M14">
            <v>1</v>
          </cell>
        </row>
        <row r="15">
          <cell r="G15" t="str">
            <v>47362097</v>
          </cell>
          <cell r="H15" t="str">
            <v>928521205</v>
          </cell>
          <cell r="I15">
            <v>15</v>
          </cell>
          <cell r="J15" t="str">
            <v>2</v>
          </cell>
          <cell r="K15" t="str">
            <v>RESERVA</v>
          </cell>
          <cell r="L15" t="str">
            <v>R1</v>
          </cell>
          <cell r="M15">
            <v>99</v>
          </cell>
        </row>
        <row r="16">
          <cell r="G16" t="str">
            <v>71837572</v>
          </cell>
          <cell r="H16" t="str">
            <v>926046095</v>
          </cell>
          <cell r="I16">
            <v>30</v>
          </cell>
          <cell r="J16" t="str">
            <v>2</v>
          </cell>
          <cell r="K16" t="str">
            <v>RESERVA</v>
          </cell>
          <cell r="L16" t="str">
            <v>R1</v>
          </cell>
          <cell r="M16">
            <v>99</v>
          </cell>
        </row>
        <row r="17">
          <cell r="G17" t="str">
            <v>41511748</v>
          </cell>
          <cell r="H17" t="str">
            <v>933277926</v>
          </cell>
          <cell r="I17">
            <v>23</v>
          </cell>
          <cell r="J17" t="str">
            <v>2</v>
          </cell>
          <cell r="K17" t="str">
            <v>RESERVA</v>
          </cell>
          <cell r="L17" t="str">
            <v>R1</v>
          </cell>
          <cell r="M17">
            <v>99</v>
          </cell>
        </row>
        <row r="18">
          <cell r="G18" t="str">
            <v>45722877</v>
          </cell>
          <cell r="H18" t="str">
            <v>929961671</v>
          </cell>
          <cell r="I18">
            <v>16</v>
          </cell>
          <cell r="J18" t="str">
            <v>2</v>
          </cell>
          <cell r="K18" t="str">
            <v>RESERVA</v>
          </cell>
          <cell r="L18" t="str">
            <v>R1</v>
          </cell>
          <cell r="M18">
            <v>99</v>
          </cell>
        </row>
        <row r="19">
          <cell r="G19" t="str">
            <v>41425945</v>
          </cell>
          <cell r="H19" t="str">
            <v>950210260</v>
          </cell>
          <cell r="I19">
            <v>14</v>
          </cell>
          <cell r="J19" t="str">
            <v>2</v>
          </cell>
          <cell r="K19" t="str">
            <v>RESERVA</v>
          </cell>
          <cell r="L19" t="str">
            <v>R1</v>
          </cell>
          <cell r="M19">
            <v>99</v>
          </cell>
        </row>
        <row r="20">
          <cell r="G20" t="str">
            <v>44405253</v>
          </cell>
          <cell r="H20" t="str">
            <v>965744892</v>
          </cell>
          <cell r="I20">
            <v>18</v>
          </cell>
          <cell r="J20" t="str">
            <v>2</v>
          </cell>
          <cell r="K20" t="str">
            <v>RESERVA</v>
          </cell>
          <cell r="L20" t="str">
            <v>R1</v>
          </cell>
          <cell r="M20">
            <v>99</v>
          </cell>
        </row>
        <row r="21">
          <cell r="G21" t="str">
            <v>46341962</v>
          </cell>
          <cell r="H21" t="str">
            <v>935896232</v>
          </cell>
          <cell r="I21">
            <v>21</v>
          </cell>
          <cell r="J21" t="str">
            <v>2</v>
          </cell>
          <cell r="K21" t="str">
            <v>RESERVA</v>
          </cell>
          <cell r="L21" t="str">
            <v>R1</v>
          </cell>
          <cell r="M21">
            <v>99</v>
          </cell>
        </row>
        <row r="22">
          <cell r="G22" t="str">
            <v>72238373</v>
          </cell>
          <cell r="H22" t="str">
            <v>928654900</v>
          </cell>
          <cell r="I22">
            <v>31</v>
          </cell>
          <cell r="J22" t="str">
            <v>2</v>
          </cell>
          <cell r="K22" t="str">
            <v>RESERVA</v>
          </cell>
          <cell r="L22" t="str">
            <v>R1</v>
          </cell>
          <cell r="M22">
            <v>99</v>
          </cell>
        </row>
        <row r="23">
          <cell r="G23" t="str">
            <v>72259249</v>
          </cell>
          <cell r="H23" t="str">
            <v>977586635</v>
          </cell>
          <cell r="I23">
            <v>27</v>
          </cell>
          <cell r="J23" t="str">
            <v>2</v>
          </cell>
          <cell r="K23" t="str">
            <v>RESERVA</v>
          </cell>
          <cell r="L23" t="str">
            <v>R1</v>
          </cell>
          <cell r="M23">
            <v>99</v>
          </cell>
        </row>
        <row r="24">
          <cell r="G24" t="str">
            <v>70804279</v>
          </cell>
          <cell r="H24" t="str">
            <v>949830883</v>
          </cell>
          <cell r="I24">
            <v>9</v>
          </cell>
          <cell r="J24" t="str">
            <v>2</v>
          </cell>
          <cell r="K24" t="str">
            <v>RESERVA</v>
          </cell>
          <cell r="L24" t="str">
            <v>R1</v>
          </cell>
          <cell r="M24">
            <v>99</v>
          </cell>
        </row>
        <row r="25">
          <cell r="G25" t="str">
            <v>46528883</v>
          </cell>
          <cell r="H25" t="str">
            <v>917684007</v>
          </cell>
          <cell r="I25">
            <v>7</v>
          </cell>
          <cell r="J25" t="str">
            <v>2</v>
          </cell>
          <cell r="K25" t="str">
            <v>RESERVA</v>
          </cell>
          <cell r="L25" t="str">
            <v>R1</v>
          </cell>
          <cell r="M25">
            <v>99</v>
          </cell>
        </row>
        <row r="26">
          <cell r="G26" t="str">
            <v>44188944</v>
          </cell>
          <cell r="H26" t="str">
            <v>939645492</v>
          </cell>
          <cell r="I26">
            <v>1</v>
          </cell>
          <cell r="J26" t="str">
            <v>2</v>
          </cell>
          <cell r="K26" t="str">
            <v>APTO A CAPACITACION</v>
          </cell>
          <cell r="L26">
            <v>3</v>
          </cell>
          <cell r="M26">
            <v>1</v>
          </cell>
        </row>
        <row r="27">
          <cell r="G27" t="str">
            <v>42526824</v>
          </cell>
          <cell r="H27" t="str">
            <v>927866139</v>
          </cell>
          <cell r="I27">
            <v>6</v>
          </cell>
          <cell r="J27" t="str">
            <v>2</v>
          </cell>
          <cell r="K27" t="str">
            <v>RESERVA</v>
          </cell>
          <cell r="L27" t="str">
            <v>R1</v>
          </cell>
          <cell r="M27">
            <v>99</v>
          </cell>
        </row>
        <row r="28">
          <cell r="G28" t="str">
            <v>46132720</v>
          </cell>
          <cell r="H28" t="str">
            <v>989627964</v>
          </cell>
          <cell r="I28">
            <v>3</v>
          </cell>
          <cell r="J28" t="str">
            <v>2</v>
          </cell>
          <cell r="K28" t="str">
            <v>APTO A CAPACITACION</v>
          </cell>
          <cell r="L28">
            <v>3</v>
          </cell>
          <cell r="M28">
            <v>1</v>
          </cell>
        </row>
        <row r="29">
          <cell r="G29" t="str">
            <v>71961350</v>
          </cell>
          <cell r="H29" t="str">
            <v>927139079</v>
          </cell>
          <cell r="I29">
            <v>10</v>
          </cell>
          <cell r="J29" t="str">
            <v>2</v>
          </cell>
          <cell r="K29" t="str">
            <v>RESERVA</v>
          </cell>
          <cell r="L29" t="str">
            <v>R1</v>
          </cell>
          <cell r="M29">
            <v>99</v>
          </cell>
        </row>
        <row r="30">
          <cell r="G30" t="str">
            <v>47893559</v>
          </cell>
          <cell r="H30" t="str">
            <v>928670465</v>
          </cell>
          <cell r="I30">
            <v>12</v>
          </cell>
          <cell r="J30" t="str">
            <v>2</v>
          </cell>
          <cell r="K30" t="str">
            <v>RESERVA</v>
          </cell>
          <cell r="L30" t="str">
            <v>R1</v>
          </cell>
          <cell r="M30">
            <v>99</v>
          </cell>
        </row>
        <row r="31">
          <cell r="G31" t="str">
            <v>44753099</v>
          </cell>
          <cell r="H31" t="str">
            <v>956097255</v>
          </cell>
          <cell r="I31">
            <v>4</v>
          </cell>
          <cell r="J31" t="str">
            <v>2</v>
          </cell>
          <cell r="K31" t="str">
            <v>RESERVA</v>
          </cell>
          <cell r="L31" t="str">
            <v>R1</v>
          </cell>
          <cell r="M31">
            <v>99</v>
          </cell>
        </row>
        <row r="32">
          <cell r="G32" t="str">
            <v>48284647</v>
          </cell>
          <cell r="H32" t="str">
            <v>918450697</v>
          </cell>
          <cell r="I32">
            <v>8</v>
          </cell>
          <cell r="J32" t="str">
            <v>2</v>
          </cell>
          <cell r="K32" t="str">
            <v>RESERVA</v>
          </cell>
          <cell r="L32" t="str">
            <v>R1</v>
          </cell>
          <cell r="M32">
            <v>99</v>
          </cell>
        </row>
        <row r="33">
          <cell r="G33" t="str">
            <v>74470127</v>
          </cell>
          <cell r="H33" t="str">
            <v>918896862</v>
          </cell>
          <cell r="I33">
            <v>2</v>
          </cell>
          <cell r="J33" t="str">
            <v>2</v>
          </cell>
          <cell r="K33" t="str">
            <v>APTO A CAPACITACION</v>
          </cell>
          <cell r="L33">
            <v>3</v>
          </cell>
          <cell r="M33">
            <v>1</v>
          </cell>
        </row>
        <row r="34">
          <cell r="G34" t="str">
            <v>76971527</v>
          </cell>
          <cell r="H34" t="str">
            <v>943489968</v>
          </cell>
          <cell r="I34">
            <v>5</v>
          </cell>
          <cell r="J34" t="str">
            <v>2</v>
          </cell>
          <cell r="K34" t="str">
            <v>RESERVA</v>
          </cell>
          <cell r="L34" t="str">
            <v>R1</v>
          </cell>
          <cell r="M34">
            <v>99</v>
          </cell>
        </row>
        <row r="35">
          <cell r="G35" t="str">
            <v>46591599</v>
          </cell>
          <cell r="H35" t="str">
            <v>944329197</v>
          </cell>
          <cell r="I35">
            <v>11</v>
          </cell>
          <cell r="J35" t="str">
            <v>2</v>
          </cell>
          <cell r="K35" t="str">
            <v>RESERVA</v>
          </cell>
          <cell r="L35" t="str">
            <v>R1</v>
          </cell>
          <cell r="M35">
            <v>99</v>
          </cell>
        </row>
        <row r="36">
          <cell r="G36" t="str">
            <v>44630420</v>
          </cell>
          <cell r="H36" t="str">
            <v>990532841</v>
          </cell>
          <cell r="I36">
            <v>12</v>
          </cell>
          <cell r="J36" t="str">
            <v>2</v>
          </cell>
          <cell r="K36" t="str">
            <v>RESERVA</v>
          </cell>
          <cell r="L36" t="str">
            <v>R1</v>
          </cell>
          <cell r="M36">
            <v>99</v>
          </cell>
        </row>
        <row r="37">
          <cell r="G37" t="str">
            <v>71930407</v>
          </cell>
          <cell r="H37" t="str">
            <v>947679562</v>
          </cell>
          <cell r="I37">
            <v>1</v>
          </cell>
          <cell r="J37" t="str">
            <v>2</v>
          </cell>
          <cell r="K37" t="str">
            <v>APTO A CAPACITACION</v>
          </cell>
          <cell r="L37">
            <v>3</v>
          </cell>
          <cell r="M37">
            <v>1</v>
          </cell>
        </row>
        <row r="38">
          <cell r="G38" t="str">
            <v>46173510</v>
          </cell>
          <cell r="H38" t="str">
            <v>979425460</v>
          </cell>
          <cell r="I38">
            <v>17</v>
          </cell>
          <cell r="J38" t="str">
            <v>2</v>
          </cell>
          <cell r="K38" t="str">
            <v>RESERVA</v>
          </cell>
          <cell r="L38" t="str">
            <v>R1</v>
          </cell>
          <cell r="M38">
            <v>99</v>
          </cell>
        </row>
        <row r="39">
          <cell r="G39" t="str">
            <v>41862774</v>
          </cell>
          <cell r="H39" t="str">
            <v>902380735</v>
          </cell>
          <cell r="I39">
            <v>6</v>
          </cell>
          <cell r="J39" t="str">
            <v>2</v>
          </cell>
          <cell r="K39" t="str">
            <v>APTO A CAPACITACION</v>
          </cell>
          <cell r="L39">
            <v>3</v>
          </cell>
          <cell r="M39">
            <v>1</v>
          </cell>
        </row>
        <row r="40">
          <cell r="G40" t="str">
            <v>72218711</v>
          </cell>
          <cell r="H40" t="str">
            <v>942996254</v>
          </cell>
          <cell r="I40">
            <v>10</v>
          </cell>
          <cell r="J40" t="str">
            <v>2</v>
          </cell>
          <cell r="K40" t="str">
            <v>RESERVA</v>
          </cell>
          <cell r="L40" t="str">
            <v>R1</v>
          </cell>
          <cell r="M40">
            <v>99</v>
          </cell>
        </row>
        <row r="41">
          <cell r="G41" t="str">
            <v>70444395</v>
          </cell>
          <cell r="H41" t="str">
            <v>903512158</v>
          </cell>
          <cell r="I41">
            <v>13</v>
          </cell>
          <cell r="J41" t="str">
            <v>2</v>
          </cell>
          <cell r="K41" t="str">
            <v>RESERVA</v>
          </cell>
          <cell r="L41" t="str">
            <v>R1</v>
          </cell>
          <cell r="M41">
            <v>99</v>
          </cell>
        </row>
        <row r="42">
          <cell r="G42" t="str">
            <v>10664063</v>
          </cell>
          <cell r="H42" t="str">
            <v>928631639</v>
          </cell>
          <cell r="I42">
            <v>8</v>
          </cell>
          <cell r="J42" t="str">
            <v>2</v>
          </cell>
          <cell r="K42" t="str">
            <v>APTO A CAPACITACION</v>
          </cell>
          <cell r="L42">
            <v>3</v>
          </cell>
          <cell r="M42">
            <v>1</v>
          </cell>
        </row>
        <row r="43">
          <cell r="G43" t="str">
            <v>46088812</v>
          </cell>
          <cell r="H43" t="str">
            <v>992155700</v>
          </cell>
          <cell r="I43">
            <v>5</v>
          </cell>
          <cell r="J43" t="str">
            <v>2</v>
          </cell>
          <cell r="K43" t="str">
            <v>APTO A CAPACITACION</v>
          </cell>
          <cell r="L43">
            <v>3</v>
          </cell>
          <cell r="M43">
            <v>1</v>
          </cell>
        </row>
        <row r="44">
          <cell r="G44" t="str">
            <v>41073543</v>
          </cell>
          <cell r="H44" t="str">
            <v>982869122</v>
          </cell>
          <cell r="I44">
            <v>4</v>
          </cell>
          <cell r="J44" t="str">
            <v>2</v>
          </cell>
          <cell r="K44" t="str">
            <v>APTO A CAPACITACION</v>
          </cell>
          <cell r="L44">
            <v>3</v>
          </cell>
          <cell r="M44">
            <v>1</v>
          </cell>
        </row>
        <row r="45">
          <cell r="G45" t="str">
            <v>73777800</v>
          </cell>
          <cell r="H45" t="str">
            <v>999055422</v>
          </cell>
          <cell r="I45">
            <v>15</v>
          </cell>
          <cell r="J45" t="str">
            <v>2</v>
          </cell>
          <cell r="K45" t="str">
            <v>RESERVA</v>
          </cell>
          <cell r="L45" t="str">
            <v>R1</v>
          </cell>
          <cell r="M45">
            <v>99</v>
          </cell>
        </row>
        <row r="46">
          <cell r="G46" t="str">
            <v>10734737</v>
          </cell>
          <cell r="H46" t="str">
            <v>993838528</v>
          </cell>
          <cell r="I46">
            <v>18</v>
          </cell>
          <cell r="J46" t="str">
            <v>2</v>
          </cell>
          <cell r="K46" t="str">
            <v>RESERVA</v>
          </cell>
          <cell r="L46" t="str">
            <v>R1</v>
          </cell>
          <cell r="M46">
            <v>99</v>
          </cell>
        </row>
        <row r="47">
          <cell r="G47" t="str">
            <v>74433407</v>
          </cell>
          <cell r="H47" t="str">
            <v>917256435</v>
          </cell>
          <cell r="I47">
            <v>16</v>
          </cell>
          <cell r="J47" t="str">
            <v>2</v>
          </cell>
          <cell r="K47" t="str">
            <v>RESERVA</v>
          </cell>
          <cell r="L47" t="str">
            <v>R1</v>
          </cell>
          <cell r="M47">
            <v>99</v>
          </cell>
        </row>
        <row r="48">
          <cell r="G48" t="str">
            <v>46877374</v>
          </cell>
          <cell r="H48" t="str">
            <v>941955792</v>
          </cell>
          <cell r="I48">
            <v>9</v>
          </cell>
          <cell r="J48" t="str">
            <v>2</v>
          </cell>
          <cell r="K48" t="str">
            <v>RESERVA</v>
          </cell>
          <cell r="L48" t="str">
            <v>R1</v>
          </cell>
          <cell r="M48">
            <v>99</v>
          </cell>
        </row>
        <row r="49">
          <cell r="G49" t="str">
            <v>43966935</v>
          </cell>
          <cell r="H49" t="str">
            <v>964947791</v>
          </cell>
          <cell r="I49">
            <v>7</v>
          </cell>
          <cell r="J49" t="str">
            <v>2</v>
          </cell>
          <cell r="K49" t="str">
            <v>APTO A CAPACITACION</v>
          </cell>
          <cell r="L49">
            <v>3</v>
          </cell>
          <cell r="M49">
            <v>1</v>
          </cell>
        </row>
        <row r="50">
          <cell r="G50" t="str">
            <v>44135374</v>
          </cell>
          <cell r="H50" t="str">
            <v>942110635</v>
          </cell>
          <cell r="I50">
            <v>2</v>
          </cell>
          <cell r="J50" t="str">
            <v>2</v>
          </cell>
          <cell r="K50" t="str">
            <v>APTO A CAPACITACION</v>
          </cell>
          <cell r="L50">
            <v>3</v>
          </cell>
          <cell r="M50">
            <v>1</v>
          </cell>
        </row>
        <row r="51">
          <cell r="G51" t="str">
            <v>33940555</v>
          </cell>
          <cell r="H51" t="str">
            <v>922345443</v>
          </cell>
          <cell r="I51">
            <v>11</v>
          </cell>
          <cell r="J51" t="str">
            <v>2</v>
          </cell>
          <cell r="K51" t="str">
            <v>RESERVA</v>
          </cell>
          <cell r="L51" t="str">
            <v>R1</v>
          </cell>
          <cell r="M51">
            <v>99</v>
          </cell>
        </row>
        <row r="52">
          <cell r="G52" t="str">
            <v>45502872</v>
          </cell>
          <cell r="H52" t="str">
            <v>981637769</v>
          </cell>
          <cell r="I52">
            <v>3</v>
          </cell>
          <cell r="J52" t="str">
            <v>2</v>
          </cell>
          <cell r="K52" t="str">
            <v>APTO A CAPACITACION</v>
          </cell>
          <cell r="L52">
            <v>3</v>
          </cell>
          <cell r="M52">
            <v>1</v>
          </cell>
        </row>
        <row r="53">
          <cell r="G53" t="str">
            <v>43709484</v>
          </cell>
          <cell r="H53" t="str">
            <v>901967048</v>
          </cell>
          <cell r="I53">
            <v>14</v>
          </cell>
          <cell r="J53" t="str">
            <v>2</v>
          </cell>
          <cell r="K53" t="str">
            <v>RESERVA</v>
          </cell>
          <cell r="L53" t="str">
            <v>R1</v>
          </cell>
          <cell r="M53">
            <v>99</v>
          </cell>
        </row>
        <row r="54">
          <cell r="G54" t="str">
            <v>71071651</v>
          </cell>
          <cell r="H54" t="str">
            <v>993577966</v>
          </cell>
          <cell r="I54">
            <v>17</v>
          </cell>
          <cell r="J54" t="str">
            <v>2</v>
          </cell>
          <cell r="K54" t="str">
            <v>RESERVA</v>
          </cell>
          <cell r="L54" t="str">
            <v>R1</v>
          </cell>
          <cell r="M54">
            <v>99</v>
          </cell>
        </row>
        <row r="55">
          <cell r="G55" t="str">
            <v>72318545</v>
          </cell>
          <cell r="H55" t="str">
            <v>918721664</v>
          </cell>
          <cell r="I55">
            <v>16</v>
          </cell>
          <cell r="J55" t="str">
            <v>2</v>
          </cell>
          <cell r="K55" t="str">
            <v>RESERVA</v>
          </cell>
          <cell r="L55" t="str">
            <v>R1</v>
          </cell>
          <cell r="M55">
            <v>99</v>
          </cell>
        </row>
        <row r="56">
          <cell r="G56" t="str">
            <v>72486930</v>
          </cell>
          <cell r="H56" t="str">
            <v>959441310</v>
          </cell>
          <cell r="I56">
            <v>20</v>
          </cell>
          <cell r="J56" t="str">
            <v>2</v>
          </cell>
          <cell r="K56" t="str">
            <v>RESERVA</v>
          </cell>
          <cell r="L56" t="str">
            <v>R1</v>
          </cell>
          <cell r="M56">
            <v>99</v>
          </cell>
        </row>
        <row r="57">
          <cell r="G57" t="str">
            <v>70103371</v>
          </cell>
          <cell r="H57" t="str">
            <v>957454877</v>
          </cell>
          <cell r="I57">
            <v>8</v>
          </cell>
          <cell r="J57" t="str">
            <v>2</v>
          </cell>
          <cell r="K57" t="str">
            <v>APTO A CAPACITACION</v>
          </cell>
          <cell r="L57">
            <v>3</v>
          </cell>
          <cell r="M57">
            <v>1</v>
          </cell>
        </row>
        <row r="58">
          <cell r="G58" t="str">
            <v>27859124</v>
          </cell>
          <cell r="H58" t="str">
            <v>974136116</v>
          </cell>
          <cell r="I58">
            <v>4</v>
          </cell>
          <cell r="J58" t="str">
            <v>2</v>
          </cell>
          <cell r="K58" t="str">
            <v>APTO A CAPACITACION</v>
          </cell>
          <cell r="L58">
            <v>3</v>
          </cell>
          <cell r="M58">
            <v>1</v>
          </cell>
        </row>
        <row r="59">
          <cell r="G59" t="str">
            <v>73573523</v>
          </cell>
          <cell r="H59" t="str">
            <v>910488662</v>
          </cell>
          <cell r="I59">
            <v>12</v>
          </cell>
          <cell r="J59" t="str">
            <v>2</v>
          </cell>
          <cell r="K59" t="str">
            <v>APTO A CAPACITACION</v>
          </cell>
          <cell r="L59">
            <v>3</v>
          </cell>
          <cell r="M59">
            <v>1</v>
          </cell>
        </row>
        <row r="60">
          <cell r="G60" t="str">
            <v>74771878</v>
          </cell>
          <cell r="H60" t="str">
            <v>993452242</v>
          </cell>
          <cell r="I60">
            <v>22</v>
          </cell>
          <cell r="J60" t="str">
            <v>2</v>
          </cell>
          <cell r="K60" t="str">
            <v>RESERVA</v>
          </cell>
          <cell r="L60" t="str">
            <v>R1</v>
          </cell>
          <cell r="M60">
            <v>99</v>
          </cell>
        </row>
        <row r="61">
          <cell r="G61" t="str">
            <v>71699358</v>
          </cell>
          <cell r="H61" t="str">
            <v>958245638</v>
          </cell>
          <cell r="I61">
            <v>7</v>
          </cell>
          <cell r="J61" t="str">
            <v>2</v>
          </cell>
          <cell r="K61" t="str">
            <v>APTO A CAPACITACION</v>
          </cell>
          <cell r="L61">
            <v>3</v>
          </cell>
          <cell r="M61">
            <v>1</v>
          </cell>
        </row>
        <row r="62">
          <cell r="G62" t="str">
            <v>46118356</v>
          </cell>
          <cell r="H62" t="str">
            <v>944678374</v>
          </cell>
          <cell r="I62">
            <v>13</v>
          </cell>
          <cell r="J62" t="str">
            <v>2</v>
          </cell>
          <cell r="K62" t="str">
            <v>APTO A CAPACITACION</v>
          </cell>
          <cell r="L62">
            <v>3</v>
          </cell>
          <cell r="M62">
            <v>1</v>
          </cell>
        </row>
        <row r="63">
          <cell r="G63" t="str">
            <v>47710020</v>
          </cell>
          <cell r="H63" t="str">
            <v>927601402</v>
          </cell>
          <cell r="I63">
            <v>9</v>
          </cell>
          <cell r="J63" t="str">
            <v>2</v>
          </cell>
          <cell r="K63" t="str">
            <v>APTO A CAPACITACION</v>
          </cell>
          <cell r="L63">
            <v>3</v>
          </cell>
          <cell r="M63">
            <v>1</v>
          </cell>
        </row>
        <row r="64">
          <cell r="G64" t="str">
            <v>47591405</v>
          </cell>
          <cell r="H64" t="str">
            <v>932075776</v>
          </cell>
          <cell r="I64">
            <v>11</v>
          </cell>
          <cell r="J64" t="str">
            <v>2</v>
          </cell>
          <cell r="K64" t="str">
            <v>APTO A CAPACITACION</v>
          </cell>
          <cell r="L64">
            <v>3</v>
          </cell>
          <cell r="M64">
            <v>1</v>
          </cell>
        </row>
        <row r="65">
          <cell r="G65" t="str">
            <v>73621190</v>
          </cell>
          <cell r="H65" t="str">
            <v>996990033</v>
          </cell>
          <cell r="I65">
            <v>19</v>
          </cell>
          <cell r="J65" t="str">
            <v>2</v>
          </cell>
          <cell r="K65" t="str">
            <v>RESERVA</v>
          </cell>
          <cell r="L65" t="str">
            <v>R1</v>
          </cell>
          <cell r="M65">
            <v>99</v>
          </cell>
        </row>
        <row r="66">
          <cell r="G66" t="str">
            <v>70128724</v>
          </cell>
          <cell r="H66" t="str">
            <v>978801654</v>
          </cell>
          <cell r="I66">
            <v>1</v>
          </cell>
          <cell r="J66" t="str">
            <v>2</v>
          </cell>
          <cell r="K66" t="str">
            <v>APTO A CAPACITACION</v>
          </cell>
          <cell r="L66">
            <v>3</v>
          </cell>
          <cell r="M66">
            <v>1</v>
          </cell>
        </row>
        <row r="67">
          <cell r="G67" t="str">
            <v>47508682</v>
          </cell>
          <cell r="H67" t="str">
            <v>968752394</v>
          </cell>
          <cell r="I67">
            <v>14</v>
          </cell>
          <cell r="J67" t="str">
            <v>2</v>
          </cell>
          <cell r="K67" t="str">
            <v>RESERVA</v>
          </cell>
          <cell r="L67" t="str">
            <v>R1</v>
          </cell>
          <cell r="M67">
            <v>99</v>
          </cell>
        </row>
        <row r="68">
          <cell r="G68" t="str">
            <v>43528339</v>
          </cell>
          <cell r="H68" t="str">
            <v>925849040</v>
          </cell>
          <cell r="I68">
            <v>21</v>
          </cell>
          <cell r="J68" t="str">
            <v>2</v>
          </cell>
          <cell r="K68" t="str">
            <v>RESERVA</v>
          </cell>
          <cell r="L68" t="str">
            <v>R1</v>
          </cell>
          <cell r="M68">
            <v>99</v>
          </cell>
        </row>
        <row r="69">
          <cell r="G69" t="str">
            <v>70103740</v>
          </cell>
          <cell r="H69" t="str">
            <v>943478038</v>
          </cell>
          <cell r="I69">
            <v>24</v>
          </cell>
          <cell r="J69" t="str">
            <v>2</v>
          </cell>
          <cell r="K69" t="str">
            <v>RESERVA</v>
          </cell>
          <cell r="L69" t="str">
            <v>R1</v>
          </cell>
          <cell r="M69">
            <v>99</v>
          </cell>
        </row>
        <row r="70">
          <cell r="G70" t="str">
            <v>47217716</v>
          </cell>
          <cell r="H70" t="str">
            <v>945672145</v>
          </cell>
          <cell r="I70">
            <v>2</v>
          </cell>
          <cell r="J70" t="str">
            <v>2</v>
          </cell>
          <cell r="K70" t="str">
            <v>APTO A CAPACITACION</v>
          </cell>
          <cell r="L70">
            <v>3</v>
          </cell>
          <cell r="M70">
            <v>1</v>
          </cell>
        </row>
        <row r="71">
          <cell r="G71" t="str">
            <v>47542606</v>
          </cell>
          <cell r="H71" t="str">
            <v>940858074</v>
          </cell>
          <cell r="I71">
            <v>5</v>
          </cell>
          <cell r="J71" t="str">
            <v>2</v>
          </cell>
          <cell r="K71" t="str">
            <v>APTO A CAPACITACION</v>
          </cell>
          <cell r="L71">
            <v>3</v>
          </cell>
          <cell r="M71">
            <v>1</v>
          </cell>
        </row>
        <row r="72">
          <cell r="G72" t="str">
            <v>47440542</v>
          </cell>
          <cell r="H72" t="str">
            <v>938175557</v>
          </cell>
          <cell r="I72">
            <v>10</v>
          </cell>
          <cell r="J72" t="str">
            <v>2</v>
          </cell>
          <cell r="K72" t="str">
            <v>APTO A CAPACITACION</v>
          </cell>
          <cell r="L72">
            <v>3</v>
          </cell>
          <cell r="M72">
            <v>1</v>
          </cell>
        </row>
        <row r="73">
          <cell r="G73" t="str">
            <v>75394931</v>
          </cell>
          <cell r="H73" t="str">
            <v>952572940</v>
          </cell>
          <cell r="I73">
            <v>3</v>
          </cell>
          <cell r="J73" t="str">
            <v>2</v>
          </cell>
          <cell r="K73" t="str">
            <v>APTO A CAPACITACION</v>
          </cell>
          <cell r="L73">
            <v>3</v>
          </cell>
          <cell r="M73">
            <v>1</v>
          </cell>
        </row>
        <row r="74">
          <cell r="G74" t="str">
            <v>46947669</v>
          </cell>
          <cell r="H74" t="str">
            <v>924790999</v>
          </cell>
          <cell r="I74">
            <v>15</v>
          </cell>
          <cell r="J74" t="str">
            <v>2</v>
          </cell>
          <cell r="K74" t="str">
            <v>RESERVA</v>
          </cell>
          <cell r="L74" t="str">
            <v>R1</v>
          </cell>
          <cell r="M74">
            <v>99</v>
          </cell>
        </row>
        <row r="75">
          <cell r="G75" t="str">
            <v>73950250</v>
          </cell>
          <cell r="H75" t="str">
            <v>992295155</v>
          </cell>
          <cell r="I75">
            <v>6</v>
          </cell>
          <cell r="J75" t="str">
            <v>2</v>
          </cell>
          <cell r="K75" t="str">
            <v>APTO A CAPACITACION</v>
          </cell>
          <cell r="L75">
            <v>3</v>
          </cell>
          <cell r="M75">
            <v>1</v>
          </cell>
        </row>
        <row r="76">
          <cell r="G76" t="str">
            <v>47241404</v>
          </cell>
          <cell r="H76" t="str">
            <v>926215810</v>
          </cell>
          <cell r="I76">
            <v>18</v>
          </cell>
          <cell r="J76" t="str">
            <v>2</v>
          </cell>
          <cell r="K76" t="str">
            <v>RESERVA</v>
          </cell>
          <cell r="L76" t="str">
            <v>R1</v>
          </cell>
          <cell r="M76">
            <v>99</v>
          </cell>
        </row>
        <row r="77">
          <cell r="G77" t="str">
            <v>77228838</v>
          </cell>
          <cell r="H77" t="str">
            <v>980920558</v>
          </cell>
          <cell r="I77">
            <v>23</v>
          </cell>
          <cell r="J77" t="str">
            <v>2</v>
          </cell>
          <cell r="K77" t="str">
            <v>RESERVA</v>
          </cell>
          <cell r="L77" t="str">
            <v>R1</v>
          </cell>
          <cell r="M77">
            <v>99</v>
          </cell>
        </row>
        <row r="78">
          <cell r="G78" t="str">
            <v>42927472</v>
          </cell>
          <cell r="H78" t="str">
            <v>995181114</v>
          </cell>
          <cell r="I78">
            <v>10</v>
          </cell>
          <cell r="J78" t="str">
            <v>2</v>
          </cell>
          <cell r="K78" t="str">
            <v>APTO A CAPACITACION</v>
          </cell>
          <cell r="L78">
            <v>4</v>
          </cell>
          <cell r="M78">
            <v>1</v>
          </cell>
        </row>
        <row r="79">
          <cell r="G79" t="str">
            <v>71993449</v>
          </cell>
          <cell r="H79" t="str">
            <v>937557726</v>
          </cell>
          <cell r="I79">
            <v>5</v>
          </cell>
          <cell r="J79" t="str">
            <v>2</v>
          </cell>
          <cell r="K79" t="str">
            <v>APTO A CAPACITACION</v>
          </cell>
          <cell r="L79">
            <v>4</v>
          </cell>
          <cell r="M79">
            <v>1</v>
          </cell>
        </row>
        <row r="80">
          <cell r="G80" t="str">
            <v>71071654</v>
          </cell>
          <cell r="H80" t="str">
            <v>949542177</v>
          </cell>
          <cell r="I80">
            <v>11</v>
          </cell>
          <cell r="J80" t="str">
            <v>2</v>
          </cell>
          <cell r="K80" t="str">
            <v>APTO A CAPACITACION</v>
          </cell>
          <cell r="L80">
            <v>4</v>
          </cell>
          <cell r="M80">
            <v>1</v>
          </cell>
        </row>
        <row r="81">
          <cell r="G81" t="str">
            <v>72411759</v>
          </cell>
          <cell r="H81" t="str">
            <v>984481825</v>
          </cell>
          <cell r="I81">
            <v>22</v>
          </cell>
          <cell r="J81" t="str">
            <v>2</v>
          </cell>
          <cell r="K81" t="str">
            <v>RESERVA</v>
          </cell>
          <cell r="L81" t="str">
            <v>R1</v>
          </cell>
          <cell r="M81">
            <v>99</v>
          </cell>
        </row>
        <row r="82">
          <cell r="G82" t="str">
            <v>76870559</v>
          </cell>
          <cell r="H82" t="str">
            <v>936566142</v>
          </cell>
          <cell r="I82">
            <v>21</v>
          </cell>
          <cell r="J82" t="str">
            <v>2</v>
          </cell>
          <cell r="K82" t="str">
            <v>RESERVA</v>
          </cell>
          <cell r="L82" t="str">
            <v>R1</v>
          </cell>
          <cell r="M82">
            <v>99</v>
          </cell>
        </row>
        <row r="83">
          <cell r="G83" t="str">
            <v>72001872</v>
          </cell>
          <cell r="H83" t="str">
            <v>925917481</v>
          </cell>
          <cell r="I83">
            <v>6</v>
          </cell>
          <cell r="J83" t="str">
            <v>2</v>
          </cell>
          <cell r="K83" t="str">
            <v>APTO A CAPACITACION</v>
          </cell>
          <cell r="L83">
            <v>4</v>
          </cell>
          <cell r="M83">
            <v>1</v>
          </cell>
        </row>
        <row r="84">
          <cell r="G84" t="str">
            <v>46861133</v>
          </cell>
          <cell r="H84" t="str">
            <v>955917961</v>
          </cell>
          <cell r="I84">
            <v>1</v>
          </cell>
          <cell r="J84" t="str">
            <v>3</v>
          </cell>
          <cell r="K84" t="str">
            <v>APTO A CAPACITACION</v>
          </cell>
          <cell r="L84">
            <v>3</v>
          </cell>
          <cell r="M84">
            <v>1</v>
          </cell>
        </row>
        <row r="85">
          <cell r="G85" t="str">
            <v>70750862</v>
          </cell>
          <cell r="H85" t="str">
            <v>939949909</v>
          </cell>
          <cell r="I85">
            <v>9</v>
          </cell>
          <cell r="J85" t="str">
            <v>3</v>
          </cell>
          <cell r="K85" t="str">
            <v>APTO A CAPACITACION</v>
          </cell>
          <cell r="L85">
            <v>4</v>
          </cell>
          <cell r="M85">
            <v>1</v>
          </cell>
        </row>
        <row r="86">
          <cell r="G86" t="str">
            <v>44426239</v>
          </cell>
          <cell r="H86" t="str">
            <v>979902842</v>
          </cell>
          <cell r="I86">
            <v>7</v>
          </cell>
          <cell r="J86" t="str">
            <v>3</v>
          </cell>
          <cell r="K86" t="str">
            <v>APTO A CAPACITACION</v>
          </cell>
          <cell r="L86">
            <v>4</v>
          </cell>
          <cell r="M86">
            <v>1</v>
          </cell>
        </row>
        <row r="87">
          <cell r="G87" t="str">
            <v>73692127</v>
          </cell>
          <cell r="H87" t="str">
            <v>921307349</v>
          </cell>
          <cell r="I87">
            <v>13</v>
          </cell>
          <cell r="J87" t="str">
            <v>3</v>
          </cell>
          <cell r="K87" t="str">
            <v>APTO A CAPACITACION</v>
          </cell>
          <cell r="L87">
            <v>4</v>
          </cell>
          <cell r="M87">
            <v>1</v>
          </cell>
        </row>
        <row r="88">
          <cell r="G88" t="str">
            <v>27861472</v>
          </cell>
          <cell r="H88" t="str">
            <v>935098498</v>
          </cell>
          <cell r="I88">
            <v>2</v>
          </cell>
          <cell r="J88" t="str">
            <v>3</v>
          </cell>
          <cell r="K88" t="str">
            <v>APTO A CAPACITACION</v>
          </cell>
          <cell r="L88">
            <v>3</v>
          </cell>
          <cell r="M88">
            <v>1</v>
          </cell>
        </row>
        <row r="89">
          <cell r="G89" t="str">
            <v>48416184</v>
          </cell>
          <cell r="H89" t="str">
            <v>948220587</v>
          </cell>
          <cell r="I89">
            <v>3</v>
          </cell>
          <cell r="J89" t="str">
            <v>3</v>
          </cell>
          <cell r="K89" t="str">
            <v>APTO A CAPACITACION</v>
          </cell>
          <cell r="L89">
            <v>3</v>
          </cell>
          <cell r="M89">
            <v>1</v>
          </cell>
        </row>
        <row r="90">
          <cell r="G90" t="str">
            <v>71985400</v>
          </cell>
          <cell r="H90" t="str">
            <v>976414674</v>
          </cell>
          <cell r="I90">
            <v>4</v>
          </cell>
          <cell r="J90" t="str">
            <v>3</v>
          </cell>
          <cell r="K90" t="str">
            <v>APTO A CAPACITACION</v>
          </cell>
          <cell r="L90">
            <v>3</v>
          </cell>
          <cell r="M90">
            <v>1</v>
          </cell>
        </row>
        <row r="91">
          <cell r="G91" t="str">
            <v>45812670</v>
          </cell>
          <cell r="H91" t="str">
            <v>978548855</v>
          </cell>
          <cell r="I91">
            <v>17</v>
          </cell>
          <cell r="J91" t="str">
            <v>3</v>
          </cell>
          <cell r="K91" t="str">
            <v>RESERVA</v>
          </cell>
          <cell r="L91" t="str">
            <v>R1</v>
          </cell>
          <cell r="M91">
            <v>99</v>
          </cell>
        </row>
        <row r="92">
          <cell r="G92" t="str">
            <v>45001720</v>
          </cell>
          <cell r="H92" t="str">
            <v>969413715</v>
          </cell>
          <cell r="I92">
            <v>20</v>
          </cell>
          <cell r="J92" t="str">
            <v>3</v>
          </cell>
          <cell r="K92" t="str">
            <v>RESERVA</v>
          </cell>
          <cell r="L92" t="str">
            <v>R1</v>
          </cell>
          <cell r="M92">
            <v>99</v>
          </cell>
        </row>
        <row r="93">
          <cell r="G93" t="str">
            <v>27849055</v>
          </cell>
          <cell r="H93" t="str">
            <v>976145289</v>
          </cell>
          <cell r="I93">
            <v>12</v>
          </cell>
          <cell r="J93" t="str">
            <v>3</v>
          </cell>
          <cell r="K93" t="str">
            <v>APTO A CAPACITACION</v>
          </cell>
          <cell r="L93">
            <v>4</v>
          </cell>
          <cell r="M93">
            <v>1</v>
          </cell>
        </row>
        <row r="94">
          <cell r="G94" t="str">
            <v>76125550</v>
          </cell>
          <cell r="H94" t="str">
            <v>935448262</v>
          </cell>
          <cell r="I94">
            <v>8</v>
          </cell>
          <cell r="J94" t="str">
            <v>3</v>
          </cell>
          <cell r="K94" t="str">
            <v>APTO A CAPACITACION</v>
          </cell>
          <cell r="L94">
            <v>4</v>
          </cell>
          <cell r="M94">
            <v>1</v>
          </cell>
        </row>
        <row r="95">
          <cell r="G95" t="str">
            <v>70746573</v>
          </cell>
          <cell r="H95" t="str">
            <v>957254240</v>
          </cell>
          <cell r="I95">
            <v>14</v>
          </cell>
          <cell r="J95" t="str">
            <v>3</v>
          </cell>
          <cell r="K95" t="str">
            <v>RESERVA</v>
          </cell>
          <cell r="L95" t="str">
            <v>R1</v>
          </cell>
          <cell r="M95">
            <v>99</v>
          </cell>
        </row>
        <row r="96">
          <cell r="G96" t="str">
            <v>73881246</v>
          </cell>
          <cell r="H96" t="str">
            <v>907199865</v>
          </cell>
          <cell r="I96">
            <v>15</v>
          </cell>
          <cell r="J96" t="str">
            <v>3</v>
          </cell>
          <cell r="K96" t="str">
            <v>RESERVA</v>
          </cell>
          <cell r="L96" t="str">
            <v>R1</v>
          </cell>
          <cell r="M96">
            <v>99</v>
          </cell>
        </row>
        <row r="97">
          <cell r="G97" t="str">
            <v>74050777</v>
          </cell>
          <cell r="H97" t="str">
            <v>942453337</v>
          </cell>
          <cell r="I97">
            <v>16</v>
          </cell>
          <cell r="J97" t="str">
            <v>3</v>
          </cell>
          <cell r="K97" t="str">
            <v>RESERVA</v>
          </cell>
          <cell r="L97" t="str">
            <v>R1</v>
          </cell>
          <cell r="M97">
            <v>99</v>
          </cell>
        </row>
        <row r="98">
          <cell r="G98" t="str">
            <v>75860804</v>
          </cell>
          <cell r="H98" t="str">
            <v>997086464</v>
          </cell>
          <cell r="I98">
            <v>19</v>
          </cell>
          <cell r="J98" t="str">
            <v>3</v>
          </cell>
          <cell r="K98" t="str">
            <v>RESERVA</v>
          </cell>
          <cell r="L98" t="str">
            <v>R1</v>
          </cell>
          <cell r="M98">
            <v>99</v>
          </cell>
        </row>
        <row r="99">
          <cell r="G99" t="str">
            <v>75656129</v>
          </cell>
          <cell r="H99" t="str">
            <v>925244197</v>
          </cell>
          <cell r="I99">
            <v>18</v>
          </cell>
          <cell r="J99" t="str">
            <v>3</v>
          </cell>
          <cell r="K99" t="str">
            <v>RESERVA</v>
          </cell>
          <cell r="L99" t="str">
            <v>R1</v>
          </cell>
          <cell r="M99">
            <v>99</v>
          </cell>
        </row>
        <row r="100">
          <cell r="G100" t="str">
            <v>43391401</v>
          </cell>
          <cell r="H100" t="str">
            <v>956681614</v>
          </cell>
          <cell r="I100">
            <v>10</v>
          </cell>
          <cell r="J100" t="str">
            <v>3</v>
          </cell>
          <cell r="K100" t="str">
            <v>APTO A CAPACITACION</v>
          </cell>
          <cell r="L100">
            <v>4</v>
          </cell>
          <cell r="M100">
            <v>1</v>
          </cell>
        </row>
        <row r="101">
          <cell r="G101" t="str">
            <v>47656646</v>
          </cell>
          <cell r="H101" t="str">
            <v>954151155</v>
          </cell>
          <cell r="I101">
            <v>37</v>
          </cell>
          <cell r="J101" t="str">
            <v>3</v>
          </cell>
          <cell r="K101" t="str">
            <v>RESERVA</v>
          </cell>
          <cell r="L101" t="str">
            <v>R1</v>
          </cell>
          <cell r="M101">
            <v>99</v>
          </cell>
        </row>
        <row r="102">
          <cell r="G102" t="str">
            <v>70052776</v>
          </cell>
          <cell r="H102" t="str">
            <v>921214899</v>
          </cell>
          <cell r="I102">
            <v>25</v>
          </cell>
          <cell r="J102" t="str">
            <v>3</v>
          </cell>
          <cell r="K102" t="str">
            <v>RESERVA</v>
          </cell>
          <cell r="L102" t="str">
            <v>R1</v>
          </cell>
          <cell r="M102">
            <v>99</v>
          </cell>
        </row>
        <row r="103">
          <cell r="G103" t="str">
            <v>71110030</v>
          </cell>
          <cell r="H103" t="str">
            <v>930703217</v>
          </cell>
          <cell r="I103">
            <v>48</v>
          </cell>
          <cell r="J103" t="str">
            <v>3</v>
          </cell>
          <cell r="K103" t="str">
            <v>RESERVA</v>
          </cell>
          <cell r="L103" t="str">
            <v>R1</v>
          </cell>
          <cell r="M103">
            <v>99</v>
          </cell>
        </row>
        <row r="104">
          <cell r="G104" t="str">
            <v>71111414</v>
          </cell>
          <cell r="H104" t="str">
            <v>985434997</v>
          </cell>
          <cell r="I104">
            <v>2</v>
          </cell>
          <cell r="J104" t="str">
            <v>3</v>
          </cell>
          <cell r="K104" t="str">
            <v>APTO A CAPACITACION</v>
          </cell>
          <cell r="L104">
            <v>4</v>
          </cell>
          <cell r="M104">
            <v>1</v>
          </cell>
        </row>
        <row r="105">
          <cell r="G105" t="str">
            <v>43261964</v>
          </cell>
          <cell r="H105" t="str">
            <v>935109524</v>
          </cell>
          <cell r="I105">
            <v>33</v>
          </cell>
          <cell r="J105" t="str">
            <v>3</v>
          </cell>
          <cell r="K105" t="str">
            <v>RESERVA</v>
          </cell>
          <cell r="L105" t="str">
            <v>R1</v>
          </cell>
          <cell r="M105">
            <v>99</v>
          </cell>
        </row>
        <row r="106">
          <cell r="G106" t="str">
            <v>71084677</v>
          </cell>
          <cell r="H106" t="str">
            <v>975868120</v>
          </cell>
          <cell r="I106">
            <v>1</v>
          </cell>
          <cell r="J106" t="str">
            <v>3</v>
          </cell>
          <cell r="K106" t="str">
            <v>APTO A CAPACITACION</v>
          </cell>
          <cell r="L106">
            <v>4</v>
          </cell>
          <cell r="M106">
            <v>1</v>
          </cell>
        </row>
        <row r="107">
          <cell r="G107" t="str">
            <v>73134583</v>
          </cell>
          <cell r="H107" t="str">
            <v>921926266</v>
          </cell>
          <cell r="I107">
            <v>17</v>
          </cell>
          <cell r="J107" t="str">
            <v>3</v>
          </cell>
          <cell r="K107" t="str">
            <v>APTO A CAPACITACION</v>
          </cell>
          <cell r="L107">
            <v>4</v>
          </cell>
          <cell r="M107">
            <v>1</v>
          </cell>
        </row>
        <row r="108">
          <cell r="G108" t="str">
            <v>73595356</v>
          </cell>
          <cell r="H108" t="str">
            <v>975021485</v>
          </cell>
          <cell r="I108">
            <v>27</v>
          </cell>
          <cell r="J108" t="str">
            <v>3</v>
          </cell>
          <cell r="K108" t="str">
            <v>RESERVA</v>
          </cell>
          <cell r="L108" t="str">
            <v>R1</v>
          </cell>
          <cell r="M108">
            <v>99</v>
          </cell>
        </row>
        <row r="109">
          <cell r="G109" t="str">
            <v>46699186</v>
          </cell>
          <cell r="H109" t="str">
            <v>950342199</v>
          </cell>
          <cell r="I109">
            <v>14</v>
          </cell>
          <cell r="J109" t="str">
            <v>3</v>
          </cell>
          <cell r="K109" t="str">
            <v>APTO A CAPACITACION</v>
          </cell>
          <cell r="L109">
            <v>4</v>
          </cell>
          <cell r="M109">
            <v>1</v>
          </cell>
        </row>
        <row r="110">
          <cell r="G110" t="str">
            <v>76167095</v>
          </cell>
          <cell r="H110" t="str">
            <v>929757131</v>
          </cell>
          <cell r="I110">
            <v>47</v>
          </cell>
          <cell r="J110" t="str">
            <v>3</v>
          </cell>
          <cell r="K110" t="str">
            <v>RESERVA</v>
          </cell>
          <cell r="L110" t="str">
            <v>R1</v>
          </cell>
          <cell r="M110">
            <v>99</v>
          </cell>
        </row>
        <row r="111">
          <cell r="G111" t="str">
            <v>76229191</v>
          </cell>
          <cell r="H111" t="str">
            <v>959328189</v>
          </cell>
          <cell r="I111">
            <v>39</v>
          </cell>
          <cell r="J111" t="str">
            <v>3</v>
          </cell>
          <cell r="K111" t="str">
            <v>RESERVA</v>
          </cell>
          <cell r="L111" t="str">
            <v>R1</v>
          </cell>
          <cell r="M111">
            <v>99</v>
          </cell>
        </row>
        <row r="112">
          <cell r="G112" t="str">
            <v>33590128</v>
          </cell>
          <cell r="H112" t="str">
            <v>995233336</v>
          </cell>
          <cell r="I112">
            <v>4</v>
          </cell>
          <cell r="J112" t="str">
            <v>3</v>
          </cell>
          <cell r="K112" t="str">
            <v>APTO A CAPACITACION</v>
          </cell>
          <cell r="L112">
            <v>4</v>
          </cell>
          <cell r="M112">
            <v>1</v>
          </cell>
        </row>
        <row r="113">
          <cell r="G113" t="str">
            <v>46482808</v>
          </cell>
          <cell r="H113" t="str">
            <v>925778162</v>
          </cell>
          <cell r="I113">
            <v>6</v>
          </cell>
          <cell r="J113" t="str">
            <v>3</v>
          </cell>
          <cell r="K113" t="str">
            <v>APTO A CAPACITACION</v>
          </cell>
          <cell r="L113">
            <v>4</v>
          </cell>
          <cell r="M113">
            <v>1</v>
          </cell>
        </row>
        <row r="114">
          <cell r="G114" t="str">
            <v>44969837</v>
          </cell>
          <cell r="H114" t="str">
            <v>930375316</v>
          </cell>
          <cell r="I114">
            <v>9</v>
          </cell>
          <cell r="J114" t="str">
            <v>3</v>
          </cell>
          <cell r="K114" t="str">
            <v>APTO A CAPACITACION</v>
          </cell>
          <cell r="L114">
            <v>4</v>
          </cell>
          <cell r="M114">
            <v>1</v>
          </cell>
        </row>
        <row r="115">
          <cell r="G115" t="str">
            <v>73595250</v>
          </cell>
          <cell r="H115" t="str">
            <v>916765025</v>
          </cell>
          <cell r="I115">
            <v>29</v>
          </cell>
          <cell r="J115" t="str">
            <v>3</v>
          </cell>
          <cell r="K115" t="str">
            <v>RESERVA</v>
          </cell>
          <cell r="L115" t="str">
            <v>R1</v>
          </cell>
          <cell r="M115">
            <v>99</v>
          </cell>
        </row>
        <row r="116">
          <cell r="G116" t="str">
            <v>47641796</v>
          </cell>
          <cell r="H116" t="str">
            <v>926449799</v>
          </cell>
          <cell r="I116">
            <v>28</v>
          </cell>
          <cell r="J116" t="str">
            <v>3</v>
          </cell>
          <cell r="K116" t="str">
            <v>RESERVA</v>
          </cell>
          <cell r="L116" t="str">
            <v>R1</v>
          </cell>
          <cell r="M116">
            <v>99</v>
          </cell>
        </row>
        <row r="117">
          <cell r="G117" t="str">
            <v>44610167</v>
          </cell>
          <cell r="H117" t="str">
            <v>917243084</v>
          </cell>
          <cell r="I117">
            <v>31</v>
          </cell>
          <cell r="J117" t="str">
            <v>3</v>
          </cell>
          <cell r="K117" t="str">
            <v>RESERVA</v>
          </cell>
          <cell r="L117" t="str">
            <v>R1</v>
          </cell>
          <cell r="M117">
            <v>99</v>
          </cell>
        </row>
        <row r="118">
          <cell r="G118" t="str">
            <v>70564259</v>
          </cell>
          <cell r="H118" t="str">
            <v>918354834</v>
          </cell>
          <cell r="I118">
            <v>23</v>
          </cell>
          <cell r="J118" t="str">
            <v>3</v>
          </cell>
          <cell r="K118" t="str">
            <v>RESERVA</v>
          </cell>
          <cell r="L118" t="str">
            <v>R1</v>
          </cell>
          <cell r="M118">
            <v>99</v>
          </cell>
        </row>
        <row r="119">
          <cell r="G119" t="str">
            <v>33589918</v>
          </cell>
          <cell r="H119" t="str">
            <v>971311597</v>
          </cell>
          <cell r="I119">
            <v>3</v>
          </cell>
          <cell r="J119" t="str">
            <v>3</v>
          </cell>
          <cell r="K119" t="str">
            <v>APTO A CAPACITACION</v>
          </cell>
          <cell r="L119">
            <v>4</v>
          </cell>
          <cell r="M119">
            <v>1</v>
          </cell>
        </row>
        <row r="120">
          <cell r="G120" t="str">
            <v>63398676</v>
          </cell>
          <cell r="H120" t="str">
            <v>935527309</v>
          </cell>
          <cell r="I120">
            <v>30</v>
          </cell>
          <cell r="J120" t="str">
            <v>3</v>
          </cell>
          <cell r="K120" t="str">
            <v>RESERVA</v>
          </cell>
          <cell r="L120" t="str">
            <v>R1</v>
          </cell>
          <cell r="M120">
            <v>99</v>
          </cell>
        </row>
        <row r="121">
          <cell r="G121" t="str">
            <v>16711696</v>
          </cell>
          <cell r="H121" t="str">
            <v>925154687</v>
          </cell>
          <cell r="I121">
            <v>34</v>
          </cell>
          <cell r="J121" t="str">
            <v>3</v>
          </cell>
          <cell r="K121" t="str">
            <v>RESERVA</v>
          </cell>
          <cell r="L121" t="str">
            <v>R1</v>
          </cell>
          <cell r="M121">
            <v>99</v>
          </cell>
        </row>
        <row r="122">
          <cell r="G122" t="str">
            <v>43652500</v>
          </cell>
          <cell r="H122" t="str">
            <v>955938768</v>
          </cell>
          <cell r="I122">
            <v>43</v>
          </cell>
          <cell r="J122" t="str">
            <v>3</v>
          </cell>
          <cell r="K122" t="str">
            <v>RESERVA</v>
          </cell>
          <cell r="L122" t="str">
            <v>R1</v>
          </cell>
          <cell r="M122">
            <v>99</v>
          </cell>
        </row>
        <row r="123">
          <cell r="G123" t="str">
            <v>71069900</v>
          </cell>
          <cell r="H123" t="str">
            <v>963870093</v>
          </cell>
          <cell r="I123">
            <v>22</v>
          </cell>
          <cell r="J123" t="str">
            <v>3</v>
          </cell>
          <cell r="K123" t="str">
            <v>RESERVA</v>
          </cell>
          <cell r="L123" t="str">
            <v>R1</v>
          </cell>
          <cell r="M123">
            <v>99</v>
          </cell>
        </row>
        <row r="124">
          <cell r="G124" t="str">
            <v>73702461</v>
          </cell>
          <cell r="H124" t="str">
            <v>982031342</v>
          </cell>
          <cell r="I124">
            <v>16</v>
          </cell>
          <cell r="J124" t="str">
            <v>3</v>
          </cell>
          <cell r="K124" t="str">
            <v>APTO A CAPACITACION</v>
          </cell>
          <cell r="L124">
            <v>4</v>
          </cell>
          <cell r="M124">
            <v>1</v>
          </cell>
        </row>
        <row r="125">
          <cell r="G125" t="str">
            <v>73534003</v>
          </cell>
          <cell r="H125" t="str">
            <v>939667870</v>
          </cell>
          <cell r="I125">
            <v>11</v>
          </cell>
          <cell r="J125" t="str">
            <v>3</v>
          </cell>
          <cell r="K125" t="str">
            <v>APTO A CAPACITACION</v>
          </cell>
          <cell r="L125">
            <v>4</v>
          </cell>
          <cell r="M125">
            <v>1</v>
          </cell>
        </row>
        <row r="126">
          <cell r="G126" t="str">
            <v>46628695</v>
          </cell>
          <cell r="H126" t="str">
            <v>930684935</v>
          </cell>
          <cell r="I126">
            <v>38</v>
          </cell>
          <cell r="J126" t="str">
            <v>3</v>
          </cell>
          <cell r="K126" t="str">
            <v>RESERVA</v>
          </cell>
          <cell r="L126" t="str">
            <v>R1</v>
          </cell>
          <cell r="M126">
            <v>99</v>
          </cell>
        </row>
        <row r="127">
          <cell r="G127" t="str">
            <v>40981078</v>
          </cell>
          <cell r="H127" t="str">
            <v>982155138</v>
          </cell>
          <cell r="I127">
            <v>35</v>
          </cell>
          <cell r="J127" t="str">
            <v>3</v>
          </cell>
          <cell r="K127" t="str">
            <v>RESERVA</v>
          </cell>
          <cell r="L127" t="str">
            <v>R1</v>
          </cell>
          <cell r="M127">
            <v>99</v>
          </cell>
        </row>
        <row r="128">
          <cell r="G128" t="str">
            <v>74566583</v>
          </cell>
          <cell r="H128" t="str">
            <v>930864723</v>
          </cell>
          <cell r="I128">
            <v>32</v>
          </cell>
          <cell r="J128" t="str">
            <v>3</v>
          </cell>
          <cell r="K128" t="str">
            <v>RESERVA</v>
          </cell>
          <cell r="L128" t="str">
            <v>R1</v>
          </cell>
          <cell r="M128">
            <v>99</v>
          </cell>
        </row>
        <row r="129">
          <cell r="G129" t="str">
            <v>16700984</v>
          </cell>
          <cell r="H129" t="str">
            <v>921801844</v>
          </cell>
          <cell r="I129">
            <v>13</v>
          </cell>
          <cell r="J129" t="str">
            <v>3</v>
          </cell>
          <cell r="K129" t="str">
            <v>APTO A CAPACITACION</v>
          </cell>
          <cell r="L129">
            <v>4</v>
          </cell>
          <cell r="M129">
            <v>1</v>
          </cell>
        </row>
        <row r="130">
          <cell r="G130" t="str">
            <v>71497536</v>
          </cell>
          <cell r="H130" t="str">
            <v>985887045</v>
          </cell>
          <cell r="I130">
            <v>26</v>
          </cell>
          <cell r="J130" t="str">
            <v>3</v>
          </cell>
          <cell r="K130" t="str">
            <v>RESERVA</v>
          </cell>
          <cell r="L130" t="str">
            <v>R1</v>
          </cell>
          <cell r="M130">
            <v>99</v>
          </cell>
        </row>
        <row r="131">
          <cell r="G131" t="str">
            <v>74316541</v>
          </cell>
          <cell r="H131" t="str">
            <v>974481058</v>
          </cell>
          <cell r="I131">
            <v>36</v>
          </cell>
          <cell r="J131" t="str">
            <v>3</v>
          </cell>
          <cell r="K131" t="str">
            <v>RESERVA</v>
          </cell>
          <cell r="L131" t="str">
            <v>R1</v>
          </cell>
          <cell r="M131">
            <v>99</v>
          </cell>
        </row>
        <row r="132">
          <cell r="G132" t="str">
            <v>60647744</v>
          </cell>
          <cell r="H132" t="str">
            <v>969362293</v>
          </cell>
          <cell r="I132">
            <v>45</v>
          </cell>
          <cell r="J132" t="str">
            <v>3</v>
          </cell>
          <cell r="K132" t="str">
            <v>RESERVA</v>
          </cell>
          <cell r="L132" t="str">
            <v>R1</v>
          </cell>
          <cell r="M132">
            <v>99</v>
          </cell>
        </row>
        <row r="133">
          <cell r="G133" t="str">
            <v>41874024</v>
          </cell>
          <cell r="H133" t="str">
            <v>978425587</v>
          </cell>
          <cell r="I133">
            <v>15</v>
          </cell>
          <cell r="J133" t="str">
            <v>3</v>
          </cell>
          <cell r="K133" t="str">
            <v>APTO A CAPACITACION</v>
          </cell>
          <cell r="L133">
            <v>4</v>
          </cell>
          <cell r="M133">
            <v>1</v>
          </cell>
        </row>
        <row r="134">
          <cell r="G134" t="str">
            <v>42479195</v>
          </cell>
          <cell r="H134" t="str">
            <v>981814843</v>
          </cell>
          <cell r="I134">
            <v>24</v>
          </cell>
          <cell r="J134" t="str">
            <v>3</v>
          </cell>
          <cell r="K134" t="str">
            <v>RESERVA</v>
          </cell>
          <cell r="L134" t="str">
            <v>R1</v>
          </cell>
          <cell r="M134">
            <v>99</v>
          </cell>
        </row>
        <row r="135">
          <cell r="G135" t="str">
            <v>70086217</v>
          </cell>
          <cell r="H135" t="str">
            <v>917360738</v>
          </cell>
          <cell r="I135">
            <v>7</v>
          </cell>
          <cell r="J135" t="str">
            <v>3</v>
          </cell>
          <cell r="K135" t="str">
            <v>APTO A CAPACITACION</v>
          </cell>
          <cell r="L135">
            <v>4</v>
          </cell>
          <cell r="M135">
            <v>1</v>
          </cell>
        </row>
        <row r="136">
          <cell r="G136" t="str">
            <v>71563175</v>
          </cell>
          <cell r="H136" t="str">
            <v>952694590</v>
          </cell>
          <cell r="I136">
            <v>5</v>
          </cell>
          <cell r="J136" t="str">
            <v>3</v>
          </cell>
          <cell r="K136" t="str">
            <v>APTO A CAPACITACION</v>
          </cell>
          <cell r="L136">
            <v>4</v>
          </cell>
          <cell r="M136">
            <v>1</v>
          </cell>
        </row>
        <row r="137">
          <cell r="G137" t="str">
            <v>72513033</v>
          </cell>
          <cell r="H137" t="str">
            <v>948091269</v>
          </cell>
          <cell r="I137">
            <v>42</v>
          </cell>
          <cell r="J137" t="str">
            <v>3</v>
          </cell>
          <cell r="K137" t="str">
            <v>RESERVA</v>
          </cell>
          <cell r="L137" t="str">
            <v>R1</v>
          </cell>
          <cell r="M137">
            <v>99</v>
          </cell>
        </row>
        <row r="138">
          <cell r="G138" t="str">
            <v>71090945</v>
          </cell>
          <cell r="H138" t="str">
            <v>978344902</v>
          </cell>
          <cell r="I138">
            <v>18</v>
          </cell>
          <cell r="J138" t="str">
            <v>3</v>
          </cell>
          <cell r="K138" t="str">
            <v>APTO A CAPACITACION</v>
          </cell>
          <cell r="L138">
            <v>4</v>
          </cell>
          <cell r="M138">
            <v>1</v>
          </cell>
        </row>
        <row r="139">
          <cell r="G139" t="str">
            <v>73333335</v>
          </cell>
          <cell r="H139" t="str">
            <v>982590688</v>
          </cell>
          <cell r="I139">
            <v>46</v>
          </cell>
          <cell r="J139" t="str">
            <v>3</v>
          </cell>
          <cell r="K139" t="str">
            <v>RESERVA</v>
          </cell>
          <cell r="L139" t="str">
            <v>R1</v>
          </cell>
          <cell r="M139">
            <v>99</v>
          </cell>
        </row>
        <row r="140">
          <cell r="G140" t="str">
            <v>47218353</v>
          </cell>
          <cell r="H140" t="str">
            <v>959638759</v>
          </cell>
          <cell r="I140">
            <v>8</v>
          </cell>
          <cell r="J140" t="str">
            <v>3</v>
          </cell>
          <cell r="K140" t="str">
            <v>APTO A CAPACITACION</v>
          </cell>
          <cell r="L140">
            <v>4</v>
          </cell>
          <cell r="M140">
            <v>1</v>
          </cell>
        </row>
        <row r="141">
          <cell r="G141" t="str">
            <v>73896627</v>
          </cell>
          <cell r="H141" t="str">
            <v>943057390</v>
          </cell>
          <cell r="I141">
            <v>40</v>
          </cell>
          <cell r="J141" t="str">
            <v>3</v>
          </cell>
          <cell r="K141" t="str">
            <v>RESERVA</v>
          </cell>
          <cell r="L141" t="str">
            <v>R1</v>
          </cell>
          <cell r="M141">
            <v>99</v>
          </cell>
        </row>
        <row r="142">
          <cell r="G142" t="str">
            <v>27416349</v>
          </cell>
          <cell r="H142" t="str">
            <v>976815350</v>
          </cell>
          <cell r="I142">
            <v>44</v>
          </cell>
          <cell r="J142" t="str">
            <v>3</v>
          </cell>
          <cell r="K142" t="str">
            <v>RESERVA</v>
          </cell>
          <cell r="L142" t="str">
            <v>R1</v>
          </cell>
          <cell r="M142">
            <v>99</v>
          </cell>
        </row>
        <row r="143">
          <cell r="G143" t="str">
            <v>73697269</v>
          </cell>
          <cell r="H143" t="str">
            <v>931788176</v>
          </cell>
          <cell r="I143">
            <v>41</v>
          </cell>
          <cell r="J143" t="str">
            <v>3</v>
          </cell>
          <cell r="K143" t="str">
            <v>RESERVA</v>
          </cell>
          <cell r="L143" t="str">
            <v>R1</v>
          </cell>
          <cell r="M143">
            <v>99</v>
          </cell>
        </row>
        <row r="144">
          <cell r="G144" t="str">
            <v>70059715</v>
          </cell>
          <cell r="H144" t="str">
            <v>954318275</v>
          </cell>
          <cell r="I144">
            <v>19</v>
          </cell>
          <cell r="J144" t="str">
            <v>3</v>
          </cell>
          <cell r="K144" t="str">
            <v>APTO A CAPACITACION</v>
          </cell>
          <cell r="L144">
            <v>4</v>
          </cell>
          <cell r="M144">
            <v>1</v>
          </cell>
        </row>
        <row r="145">
          <cell r="G145" t="str">
            <v>70249542</v>
          </cell>
          <cell r="H145" t="str">
            <v>976646134</v>
          </cell>
          <cell r="I145">
            <v>12</v>
          </cell>
          <cell r="J145" t="str">
            <v>3</v>
          </cell>
          <cell r="K145" t="str">
            <v>APTO A CAPACITACION</v>
          </cell>
          <cell r="L145">
            <v>4</v>
          </cell>
          <cell r="M145">
            <v>1</v>
          </cell>
        </row>
        <row r="146">
          <cell r="G146" t="str">
            <v>72324161</v>
          </cell>
          <cell r="H146" t="str">
            <v>976501167</v>
          </cell>
          <cell r="I146">
            <v>20</v>
          </cell>
          <cell r="J146" t="str">
            <v>3</v>
          </cell>
          <cell r="K146" t="str">
            <v>APTO A CAPACITACION</v>
          </cell>
          <cell r="L146">
            <v>4</v>
          </cell>
          <cell r="M146">
            <v>1</v>
          </cell>
        </row>
        <row r="147">
          <cell r="G147" t="str">
            <v>48270517</v>
          </cell>
          <cell r="H147" t="str">
            <v>939336716</v>
          </cell>
          <cell r="I147">
            <v>21</v>
          </cell>
          <cell r="J147" t="str">
            <v>3</v>
          </cell>
          <cell r="K147" t="str">
            <v>RESERVA</v>
          </cell>
          <cell r="L147" t="str">
            <v>R1</v>
          </cell>
          <cell r="M147">
            <v>99</v>
          </cell>
        </row>
      </sheetData>
      <sheetData sheetId="13" refreshError="1"/>
      <sheetData sheetId="14" refreshError="1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Hoja5"/>
      <sheetName val="1-MUESTRA_BASE"/>
      <sheetName val="2-TB_opeXie"/>
      <sheetName val="3-Aplicadores 2P-4P-6P(1solo)"/>
      <sheetName val="Hoja6"/>
      <sheetName val="4-MUESTRA_aplicadores 2P4P6P"/>
      <sheetName val="AGRUPAR POR SEDE (APLICADORES)"/>
      <sheetName val="RA A CONTRATAR-CAPACITAR"/>
      <sheetName val="CP+SPA+SAS"/>
      <sheetName val="RESUMEN"/>
      <sheetName val="OPExREGIONAL"/>
      <sheetName val="OPExJURISDICCIONAL"/>
      <sheetName val="GENERAL"/>
      <sheetName val="Hoja2"/>
      <sheetName val="TB_SE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FCFF14-D50C-4C62-A237-4FBE7341A430}" autoFormatId="16" applyNumberFormats="0" applyBorderFormats="0" applyFontFormats="0" applyPatternFormats="0" applyAlignmentFormats="0" applyWidthHeightFormats="0">
  <queryTableRefresh nextId="30">
    <queryTableFields count="12">
      <queryTableField id="1" name="id" tableColumnId="1"/>
      <queryTableField id="3" name="tipo_doc" tableColumnId="3"/>
      <queryTableField id="16" dataBound="0" tableColumnId="16"/>
      <queryTableField id="5" name="apellido_paterno" tableColumnId="5"/>
      <queryTableField id="6" name="apellido_materno" tableColumnId="6"/>
      <queryTableField id="7" name="nombres" tableColumnId="7"/>
      <queryTableField id="8" name="sede_regional_id" tableColumnId="8"/>
      <queryTableField id="9" name="sede_provincial_id" tableColumnId="9"/>
      <queryTableField id="10" name="local_id" tableColumnId="10"/>
      <queryTableField id="11" name="num_aula" tableColumnId="11"/>
      <queryTableField id="12" name="tipo_postulante_id" tableColumnId="12"/>
      <queryTableField id="13" name="cargo_id" tableColumnId="13"/>
    </queryTableFields>
    <queryTableDeletedFields count="4">
      <deletedField name="numero_doc"/>
      <deletedField name="cod_barra"/>
      <deletedField name="ORDEN_MERITO"/>
      <deletedField name="TUR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48067-F88B-4685-B2B8-B0273562AD60}" name="Marco05" displayName="Marco05" ref="A1:L35" tableType="queryTable" totalsRowShown="0">
  <autoFilter ref="A1:L35" xr:uid="{4E748067-F88B-4685-B2B8-B0273562AD60}"/>
  <sortState xmlns:xlrd2="http://schemas.microsoft.com/office/spreadsheetml/2017/richdata2" ref="A2:L35">
    <sortCondition ref="D2:D35"/>
    <sortCondition ref="E2:E35"/>
    <sortCondition ref="F2:F35"/>
  </sortState>
  <tableColumns count="12">
    <tableColumn id="1" xr3:uid="{B42BA2CB-BB9C-4101-9F17-D990B481E46E}" uniqueName="1" name="id" queryTableFieldId="1"/>
    <tableColumn id="3" xr3:uid="{0FA14783-E430-4A85-836F-3083F0390108}" uniqueName="3" name="tipo_doc" queryTableFieldId="3" dataDxfId="58"/>
    <tableColumn id="16" xr3:uid="{90DEB3FB-08DB-4FFF-84DB-A0B3881CC825}" uniqueName="16" name="numero_doc" queryTableFieldId="16" dataDxfId="57"/>
    <tableColumn id="5" xr3:uid="{E196D4A7-2C43-4D4C-A672-BA521C87BD5B}" uniqueName="5" name="apellido_paterno" queryTableFieldId="5" dataDxfId="56"/>
    <tableColumn id="6" xr3:uid="{AFCA6716-D68D-4A70-9C12-47BCCFF72084}" uniqueName="6" name="apellido_materno" queryTableFieldId="6" dataDxfId="55"/>
    <tableColumn id="7" xr3:uid="{1B704603-1FEE-483E-9D6C-3F5448314783}" uniqueName="7" name="nombres" queryTableFieldId="7" dataDxfId="54"/>
    <tableColumn id="8" xr3:uid="{2697DCEA-0319-43D6-A2C3-4007AA6A5570}" uniqueName="8" name="sede_regional" queryTableFieldId="8" dataDxfId="53"/>
    <tableColumn id="9" xr3:uid="{A1AEC590-965F-450A-A251-617C3E857A12}" uniqueName="9" name="sede_provincial_id" queryTableFieldId="9" dataDxfId="52"/>
    <tableColumn id="10" xr3:uid="{11495332-A047-46CE-8BAA-8958B8E1D615}" uniqueName="10" name="local_id" queryTableFieldId="10" dataDxfId="51"/>
    <tableColumn id="11" xr3:uid="{08A526C7-C10B-4EA4-9585-C1B65AE09353}" uniqueName="11" name="num_aula" queryTableFieldId="11" dataDxfId="50"/>
    <tableColumn id="12" xr3:uid="{98261577-62C2-40B4-BD85-DE39249D4EF8}" uniqueName="12" name="tipo_postulante_id" queryTableFieldId="12" dataDxfId="49"/>
    <tableColumn id="13" xr3:uid="{2DFEE508-727D-4046-ADB6-3B8699FD03F1}" uniqueName="13" name="CARGO" queryTableFieldId="13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895D41-C013-4E42-B3C6-C8C6F44C6110}" name="Tabla95" displayName="Tabla95" ref="A1:M269" totalsRowCount="1" headerRowDxfId="47" dataDxfId="45" headerRowBorderDxfId="46" tableBorderDxfId="44">
  <autoFilter ref="A1:M268" xr:uid="{45869AF6-E6A2-4AA1-8C90-11C46460A52A}"/>
  <tableColumns count="13">
    <tableColumn id="1" xr3:uid="{DAD6C9FF-78A4-4DDC-A6F0-2E19D8D0BCE1}" name="NRO" dataDxfId="43" totalsRowDxfId="42"/>
    <tableColumn id="2" xr3:uid="{7F6C30B2-8D97-450C-8DE4-9F0E4E18B1F4}" name="SEDE REGIONAL" dataDxfId="41" totalsRowDxfId="40"/>
    <tableColumn id="3" xr3:uid="{C4B6F833-E57E-4E57-B3BF-5B0B11315265}" name="SEDE JURISDICCIONAL" dataDxfId="39" totalsRowDxfId="38"/>
    <tableColumn id="4" xr3:uid="{ED4F17B4-E89A-499F-8125-C554666EDBC6}" name="DISTRITO DE UBICACION" dataDxfId="37" totalsRowDxfId="36"/>
    <tableColumn id="5" xr3:uid="{6159D447-64FB-439C-828D-E987847761C9}" name="PRESELECCIÓN" dataDxfId="35" totalsRowDxfId="34"/>
    <tableColumn id="6" xr3:uid="{1504238D-4817-4ABE-AC5C-AC4243EC2D72}" name="CAPACITAR" dataDxfId="33" totalsRowDxfId="32"/>
    <tableColumn id="7" xr3:uid="{A27768CF-461A-4089-AC42-DD916385D7E3}" name="TOTAL" dataDxfId="31" totalsRowDxfId="30"/>
    <tableColumn id="8" xr3:uid="{01396182-37E9-411D-8D53-723A8148D149}" name="1.PRIMARIA" dataDxfId="29" totalsRowDxfId="28"/>
    <tableColumn id="9" xr3:uid="{1E146099-2CCF-47B9-81DA-BF58F3D9B06A}" name="2.SECUNDARIA" dataDxfId="27" totalsRowDxfId="26"/>
    <tableColumn id="10" xr3:uid="{8A504FD5-9FB1-4623-881D-7630BE08D95D}" name="RESERVA (9%" dataDxfId="25" totalsRowDxfId="24">
      <calculatedColumnFormula>ROUNDUP(Tabla95[[#This Row],[PRESELECCIÓN]]*9%,0)</calculatedColumnFormula>
    </tableColumn>
    <tableColumn id="11" xr3:uid="{03798021-8F84-4B29-86AC-A33791FEEB24}" name="TOTAL (TITULARES + RESERVAS)" totalsRowFunction="sum" dataDxfId="23" totalsRowDxfId="22">
      <calculatedColumnFormula>Tabla95[[#This Row],[PRESELECCIÓN]]+Tabla95[[#This Row],[RESERVA (9%]]</calculatedColumnFormula>
    </tableColumn>
    <tableColumn id="12" xr3:uid="{1A72CC46-5F8F-4F34-B88E-30137FF0CCC5}" name="TURNO 1" dataDxfId="21" totalsRowDxfId="20">
      <calculatedColumnFormula>ROUNDUP(Tabla95[[#This Row],[TOTAL (TITULARES + RESERVAS)]]*60%,0)</calculatedColumnFormula>
    </tableColumn>
    <tableColumn id="13" xr3:uid="{B4D9EDC1-2B86-4E18-BC3C-EBC1458A6144}" name="TURNO 2" dataDxfId="19" totalsRowDxfId="18">
      <calculatedColumnFormula>Tabla95[[#This Row],[TOTAL (TITULARES + RESERVAS)]]-Tabla95[[#This Row],[TURNO 1]]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84EC05-3DE3-472E-9DEA-B67DE6ABE408}" name="Tabla2" displayName="Tabla2" ref="A1:N268" totalsRowShown="0" headerRowDxfId="17" headerRowBorderDxfId="16" tableBorderDxfId="15" totalsRowBorderDxfId="14">
  <tableColumns count="14">
    <tableColumn id="1" xr3:uid="{85C6C5F5-62CC-4EFF-80CB-580F81449575}" name="LIMA - CALLAO y ODEIs" dataDxfId="13"/>
    <tableColumn id="2" xr3:uid="{40306B00-EA8D-4043-B3B9-D59EC637F2B9}" name="ODEI/OZEI" dataDxfId="12"/>
    <tableColumn id="3" xr3:uid="{5FBB8E9F-0DCE-493E-B5D6-A5C5BAA99F9D}" name="CODSEDE_REG" dataDxfId="11"/>
    <tableColumn id="4" xr3:uid="{927C4ED7-5CCD-442F-B7FB-2F40A32A6EF2}" name="SEDE REG 2024" dataDxfId="10"/>
    <tableColumn id="5" xr3:uid="{B6ECF2B1-158F-4F79-9382-C470AC27C075}" name="CODSEDE_JURISD" dataDxfId="9"/>
    <tableColumn id="6" xr3:uid="{BA119F6A-B6D2-45E2-94B4-4EBFAC1976A6}" name="SEDE JURISD" dataDxfId="8"/>
    <tableColumn id="7" xr3:uid="{87DE9208-4A7C-4FB8-9C3A-660DEA4645AF}" name="CODSEDE_DIST" dataDxfId="7"/>
    <tableColumn id="8" xr3:uid="{41EF4E49-004F-4ED6-8282-4B5F389230B4}" name="CODDEP2" dataDxfId="6"/>
    <tableColumn id="9" xr3:uid="{DAEF64DA-9A25-423B-B448-4193D51E3664}" name="NOMB_DEP" dataDxfId="5"/>
    <tableColumn id="10" xr3:uid="{D2D4C96E-00CE-43EA-90C9-F50ABCE26ACE}" name="CODPROV2" dataDxfId="4"/>
    <tableColumn id="11" xr3:uid="{27DB9337-21E7-46F4-BDAB-D4A48E133203}" name="NOMB_PRO" dataDxfId="3"/>
    <tableColumn id="12" xr3:uid="{1D47A8FD-9161-472E-9FF7-65F141955D97}" name="CODDIST2" dataDxfId="2"/>
    <tableColumn id="13" xr3:uid="{A603CCBC-4788-4AD4-86CC-2339F7BB6C45}" name="NOM_DIST" dataDxfId="1"/>
    <tableColumn id="14" xr3:uid="{606648F6-B49A-4562-AE67-21CCE3C2FA01}" name="UBIGEO _SED_PRO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EE1A-13E9-4AEA-A4B3-558E02E90B16}">
  <dimension ref="A1:L35"/>
  <sheetViews>
    <sheetView tabSelected="1" workbookViewId="0">
      <selection activeCell="B4" sqref="B4"/>
    </sheetView>
  </sheetViews>
  <sheetFormatPr baseColWidth="10" defaultRowHeight="14.4" x14ac:dyDescent="0.3"/>
  <cols>
    <col min="1" max="1" width="6" bestFit="1" customWidth="1"/>
    <col min="2" max="2" width="11" bestFit="1" customWidth="1"/>
    <col min="3" max="3" width="14.44140625" customWidth="1"/>
    <col min="4" max="4" width="22.6640625" bestFit="1" customWidth="1"/>
    <col min="5" max="5" width="31" bestFit="1" customWidth="1"/>
    <col min="6" max="6" width="30.33203125" bestFit="1" customWidth="1"/>
    <col min="7" max="7" width="18.6640625" bestFit="1" customWidth="1"/>
    <col min="8" max="8" width="41.33203125" bestFit="1" customWidth="1"/>
    <col min="9" max="9" width="22.77734375" bestFit="1" customWidth="1"/>
    <col min="10" max="10" width="12" bestFit="1" customWidth="1"/>
    <col min="11" max="11" width="20.33203125" bestFit="1" customWidth="1"/>
    <col min="12" max="12" width="34.44140625" bestFit="1" customWidth="1"/>
  </cols>
  <sheetData>
    <row r="1" spans="1:12" x14ac:dyDescent="0.3">
      <c r="A1" t="s">
        <v>0</v>
      </c>
      <c r="B1" t="s">
        <v>1</v>
      </c>
      <c r="C1" t="s">
        <v>996</v>
      </c>
      <c r="D1" t="s">
        <v>2</v>
      </c>
      <c r="E1" t="s">
        <v>3</v>
      </c>
      <c r="F1" t="s">
        <v>4</v>
      </c>
      <c r="G1" t="s">
        <v>955</v>
      </c>
      <c r="H1" t="s">
        <v>5</v>
      </c>
      <c r="I1" t="s">
        <v>6</v>
      </c>
      <c r="J1" t="s">
        <v>7</v>
      </c>
      <c r="K1" t="s">
        <v>8</v>
      </c>
      <c r="L1" t="s">
        <v>989</v>
      </c>
    </row>
    <row r="2" spans="1:12" x14ac:dyDescent="0.3">
      <c r="A2">
        <v>1</v>
      </c>
      <c r="B2" t="s">
        <v>995</v>
      </c>
      <c r="C2" s="19" t="s">
        <v>953</v>
      </c>
      <c r="D2" t="s">
        <v>55</v>
      </c>
      <c r="E2" t="s">
        <v>63</v>
      </c>
      <c r="F2" t="s">
        <v>954</v>
      </c>
      <c r="G2" s="19" t="s">
        <v>849</v>
      </c>
      <c r="H2" s="19" t="s">
        <v>957</v>
      </c>
      <c r="I2" t="s">
        <v>896</v>
      </c>
      <c r="J2">
        <v>1</v>
      </c>
      <c r="K2" t="s">
        <v>987</v>
      </c>
      <c r="L2" t="s">
        <v>990</v>
      </c>
    </row>
    <row r="3" spans="1:12" x14ac:dyDescent="0.3">
      <c r="A3">
        <v>2</v>
      </c>
      <c r="B3" t="s">
        <v>995</v>
      </c>
      <c r="C3" s="19" t="s">
        <v>952</v>
      </c>
      <c r="D3" t="s">
        <v>150</v>
      </c>
      <c r="E3" t="s">
        <v>61</v>
      </c>
      <c r="F3" t="s">
        <v>82</v>
      </c>
      <c r="G3" s="19" t="s">
        <v>849</v>
      </c>
      <c r="H3" s="19" t="s">
        <v>958</v>
      </c>
      <c r="I3" t="s">
        <v>896</v>
      </c>
      <c r="J3">
        <v>2</v>
      </c>
      <c r="K3" t="s">
        <v>987</v>
      </c>
      <c r="L3" t="s">
        <v>991</v>
      </c>
    </row>
    <row r="4" spans="1:12" x14ac:dyDescent="0.3">
      <c r="A4">
        <v>3</v>
      </c>
      <c r="B4" t="s">
        <v>995</v>
      </c>
      <c r="C4" s="19" t="s">
        <v>951</v>
      </c>
      <c r="D4" t="s">
        <v>230</v>
      </c>
      <c r="E4" t="s">
        <v>226</v>
      </c>
      <c r="F4" t="s">
        <v>18</v>
      </c>
      <c r="G4" s="19" t="s">
        <v>849</v>
      </c>
      <c r="H4" s="19" t="s">
        <v>959</v>
      </c>
      <c r="I4" t="s">
        <v>896</v>
      </c>
      <c r="J4">
        <v>3</v>
      </c>
      <c r="K4" t="s">
        <v>987</v>
      </c>
      <c r="L4" t="s">
        <v>992</v>
      </c>
    </row>
    <row r="5" spans="1:12" x14ac:dyDescent="0.3">
      <c r="A5">
        <v>4</v>
      </c>
      <c r="B5" t="s">
        <v>995</v>
      </c>
      <c r="C5" s="19" t="s">
        <v>949</v>
      </c>
      <c r="D5" t="s">
        <v>903</v>
      </c>
      <c r="E5" t="s">
        <v>902</v>
      </c>
      <c r="F5" t="s">
        <v>950</v>
      </c>
      <c r="G5" s="19" t="s">
        <v>849</v>
      </c>
      <c r="H5" s="19" t="s">
        <v>960</v>
      </c>
      <c r="I5" t="s">
        <v>896</v>
      </c>
      <c r="J5">
        <v>99</v>
      </c>
      <c r="K5" t="s">
        <v>988</v>
      </c>
      <c r="L5" t="s">
        <v>993</v>
      </c>
    </row>
    <row r="6" spans="1:12" x14ac:dyDescent="0.3">
      <c r="A6">
        <v>5</v>
      </c>
      <c r="B6" t="s">
        <v>995</v>
      </c>
      <c r="C6" s="19" t="s">
        <v>948</v>
      </c>
      <c r="D6" t="s">
        <v>48</v>
      </c>
      <c r="E6" t="s">
        <v>40</v>
      </c>
      <c r="F6" t="s">
        <v>907</v>
      </c>
      <c r="G6" s="19" t="s">
        <v>849</v>
      </c>
      <c r="H6" s="19" t="s">
        <v>961</v>
      </c>
      <c r="I6" t="s">
        <v>896</v>
      </c>
      <c r="J6">
        <v>2</v>
      </c>
      <c r="K6" t="s">
        <v>987</v>
      </c>
      <c r="L6" t="s">
        <v>994</v>
      </c>
    </row>
    <row r="7" spans="1:12" x14ac:dyDescent="0.3">
      <c r="A7">
        <v>6</v>
      </c>
      <c r="B7" t="s">
        <v>995</v>
      </c>
      <c r="C7" s="19" t="s">
        <v>946</v>
      </c>
      <c r="D7" t="s">
        <v>16</v>
      </c>
      <c r="E7" t="s">
        <v>10</v>
      </c>
      <c r="F7" t="s">
        <v>947</v>
      </c>
      <c r="G7" s="19" t="s">
        <v>849</v>
      </c>
      <c r="H7" s="19" t="s">
        <v>962</v>
      </c>
      <c r="I7" t="s">
        <v>896</v>
      </c>
      <c r="J7">
        <v>3</v>
      </c>
      <c r="K7" t="s">
        <v>987</v>
      </c>
      <c r="L7" t="s">
        <v>993</v>
      </c>
    </row>
    <row r="8" spans="1:12" x14ac:dyDescent="0.3">
      <c r="A8">
        <v>7</v>
      </c>
      <c r="B8" t="s">
        <v>995</v>
      </c>
      <c r="C8" s="19" t="s">
        <v>944</v>
      </c>
      <c r="D8" t="s">
        <v>44</v>
      </c>
      <c r="E8" t="s">
        <v>36</v>
      </c>
      <c r="F8" t="s">
        <v>945</v>
      </c>
      <c r="G8" s="19" t="s">
        <v>849</v>
      </c>
      <c r="H8" s="19" t="s">
        <v>963</v>
      </c>
      <c r="I8" t="s">
        <v>896</v>
      </c>
      <c r="J8">
        <v>4</v>
      </c>
      <c r="K8" t="s">
        <v>987</v>
      </c>
      <c r="L8" t="s">
        <v>993</v>
      </c>
    </row>
    <row r="9" spans="1:12" x14ac:dyDescent="0.3">
      <c r="A9">
        <v>8</v>
      </c>
      <c r="B9" t="s">
        <v>995</v>
      </c>
      <c r="C9" s="19" t="s">
        <v>942</v>
      </c>
      <c r="D9" t="s">
        <v>44</v>
      </c>
      <c r="E9" t="s">
        <v>22</v>
      </c>
      <c r="F9" t="s">
        <v>943</v>
      </c>
      <c r="G9" s="19" t="s">
        <v>849</v>
      </c>
      <c r="H9" s="19" t="s">
        <v>964</v>
      </c>
      <c r="I9" t="s">
        <v>896</v>
      </c>
      <c r="J9">
        <v>5</v>
      </c>
      <c r="K9" t="s">
        <v>988</v>
      </c>
      <c r="L9" t="s">
        <v>994</v>
      </c>
    </row>
    <row r="10" spans="1:12" x14ac:dyDescent="0.3">
      <c r="A10">
        <v>9</v>
      </c>
      <c r="B10" t="s">
        <v>995</v>
      </c>
      <c r="C10" s="19" t="s">
        <v>941</v>
      </c>
      <c r="D10" t="s">
        <v>50</v>
      </c>
      <c r="E10" t="s">
        <v>15</v>
      </c>
      <c r="F10" t="s">
        <v>904</v>
      </c>
      <c r="G10" s="19" t="s">
        <v>172</v>
      </c>
      <c r="H10" s="19" t="s">
        <v>965</v>
      </c>
      <c r="I10" t="s">
        <v>900</v>
      </c>
      <c r="J10">
        <v>1</v>
      </c>
      <c r="K10" t="s">
        <v>987</v>
      </c>
      <c r="L10" t="s">
        <v>994</v>
      </c>
    </row>
    <row r="11" spans="1:12" x14ac:dyDescent="0.3">
      <c r="A11">
        <v>10</v>
      </c>
      <c r="B11" t="s">
        <v>995</v>
      </c>
      <c r="C11" s="19" t="s">
        <v>940</v>
      </c>
      <c r="D11" t="s">
        <v>181</v>
      </c>
      <c r="E11" t="s">
        <v>265</v>
      </c>
      <c r="F11" t="s">
        <v>123</v>
      </c>
      <c r="G11" s="19" t="s">
        <v>172</v>
      </c>
      <c r="H11" s="19" t="s">
        <v>966</v>
      </c>
      <c r="I11" t="s">
        <v>900</v>
      </c>
      <c r="J11">
        <v>2</v>
      </c>
      <c r="K11" t="s">
        <v>987</v>
      </c>
      <c r="L11" t="s">
        <v>990</v>
      </c>
    </row>
    <row r="12" spans="1:12" x14ac:dyDescent="0.3">
      <c r="A12">
        <v>11</v>
      </c>
      <c r="B12" t="s">
        <v>995</v>
      </c>
      <c r="C12" s="19" t="s">
        <v>938</v>
      </c>
      <c r="D12" t="s">
        <v>908</v>
      </c>
      <c r="E12" t="s">
        <v>264</v>
      </c>
      <c r="F12" t="s">
        <v>939</v>
      </c>
      <c r="G12" s="19" t="s">
        <v>172</v>
      </c>
      <c r="H12" s="19" t="s">
        <v>967</v>
      </c>
      <c r="I12" t="s">
        <v>900</v>
      </c>
      <c r="J12">
        <v>3</v>
      </c>
      <c r="K12" t="s">
        <v>987</v>
      </c>
      <c r="L12" t="s">
        <v>991</v>
      </c>
    </row>
    <row r="13" spans="1:12" x14ac:dyDescent="0.3">
      <c r="A13">
        <v>12</v>
      </c>
      <c r="B13" t="s">
        <v>995</v>
      </c>
      <c r="C13" s="19" t="s">
        <v>937</v>
      </c>
      <c r="D13" t="s">
        <v>262</v>
      </c>
      <c r="E13" t="s">
        <v>259</v>
      </c>
      <c r="F13" t="s">
        <v>24</v>
      </c>
      <c r="G13" s="19" t="s">
        <v>172</v>
      </c>
      <c r="H13" s="19" t="s">
        <v>968</v>
      </c>
      <c r="I13" t="s">
        <v>900</v>
      </c>
      <c r="J13">
        <v>4</v>
      </c>
      <c r="K13" t="s">
        <v>987</v>
      </c>
      <c r="L13" t="s">
        <v>992</v>
      </c>
    </row>
    <row r="14" spans="1:12" x14ac:dyDescent="0.3">
      <c r="A14">
        <v>13</v>
      </c>
      <c r="B14" t="s">
        <v>995</v>
      </c>
      <c r="C14" s="19" t="s">
        <v>935</v>
      </c>
      <c r="D14" t="s">
        <v>47</v>
      </c>
      <c r="E14" t="s">
        <v>48</v>
      </c>
      <c r="F14" t="s">
        <v>936</v>
      </c>
      <c r="G14" s="19" t="s">
        <v>172</v>
      </c>
      <c r="H14" s="19" t="s">
        <v>969</v>
      </c>
      <c r="I14" t="s">
        <v>900</v>
      </c>
      <c r="J14">
        <v>99</v>
      </c>
      <c r="K14" t="s">
        <v>988</v>
      </c>
      <c r="L14" t="s">
        <v>994</v>
      </c>
    </row>
    <row r="15" spans="1:12" x14ac:dyDescent="0.3">
      <c r="A15">
        <v>14</v>
      </c>
      <c r="B15" t="s">
        <v>995</v>
      </c>
      <c r="C15" s="19" t="s">
        <v>933</v>
      </c>
      <c r="D15" t="s">
        <v>47</v>
      </c>
      <c r="E15" t="s">
        <v>174</v>
      </c>
      <c r="F15" t="s">
        <v>934</v>
      </c>
      <c r="G15" s="19" t="s">
        <v>172</v>
      </c>
      <c r="H15" s="19" t="s">
        <v>970</v>
      </c>
      <c r="I15" t="s">
        <v>900</v>
      </c>
      <c r="J15">
        <v>5</v>
      </c>
      <c r="K15" t="s">
        <v>987</v>
      </c>
      <c r="L15" t="s">
        <v>993</v>
      </c>
    </row>
    <row r="16" spans="1:12" x14ac:dyDescent="0.3">
      <c r="A16">
        <v>15</v>
      </c>
      <c r="B16" t="s">
        <v>995</v>
      </c>
      <c r="C16" s="19" t="s">
        <v>365</v>
      </c>
      <c r="D16" t="s">
        <v>238</v>
      </c>
      <c r="E16" t="s">
        <v>242</v>
      </c>
      <c r="F16" t="s">
        <v>119</v>
      </c>
      <c r="G16" s="19" t="s">
        <v>956</v>
      </c>
      <c r="H16" s="19" t="s">
        <v>971</v>
      </c>
      <c r="I16" t="s">
        <v>898</v>
      </c>
      <c r="J16">
        <v>1</v>
      </c>
      <c r="K16" t="s">
        <v>987</v>
      </c>
      <c r="L16" t="s">
        <v>994</v>
      </c>
    </row>
    <row r="17" spans="1:12" x14ac:dyDescent="0.3">
      <c r="A17">
        <v>16</v>
      </c>
      <c r="B17" t="s">
        <v>995</v>
      </c>
      <c r="C17" s="19" t="s">
        <v>932</v>
      </c>
      <c r="D17" t="s">
        <v>261</v>
      </c>
      <c r="E17" t="s">
        <v>267</v>
      </c>
      <c r="F17" t="s">
        <v>342</v>
      </c>
      <c r="G17" s="19" t="s">
        <v>956</v>
      </c>
      <c r="H17" s="19" t="s">
        <v>972</v>
      </c>
      <c r="I17" t="s">
        <v>898</v>
      </c>
      <c r="J17">
        <v>1</v>
      </c>
      <c r="K17" t="s">
        <v>987</v>
      </c>
      <c r="L17" t="s">
        <v>990</v>
      </c>
    </row>
    <row r="18" spans="1:12" x14ac:dyDescent="0.3">
      <c r="A18">
        <v>17</v>
      </c>
      <c r="B18" t="s">
        <v>995</v>
      </c>
      <c r="C18" s="19" t="s">
        <v>930</v>
      </c>
      <c r="D18" t="s">
        <v>231</v>
      </c>
      <c r="E18" t="s">
        <v>29</v>
      </c>
      <c r="F18" t="s">
        <v>931</v>
      </c>
      <c r="G18" s="19" t="s">
        <v>956</v>
      </c>
      <c r="H18" s="19" t="s">
        <v>973</v>
      </c>
      <c r="I18" t="s">
        <v>898</v>
      </c>
      <c r="J18">
        <v>1</v>
      </c>
      <c r="K18" t="s">
        <v>987</v>
      </c>
      <c r="L18" t="s">
        <v>991</v>
      </c>
    </row>
    <row r="19" spans="1:12" x14ac:dyDescent="0.3">
      <c r="A19">
        <v>18</v>
      </c>
      <c r="B19" t="s">
        <v>995</v>
      </c>
      <c r="C19" s="19" t="s">
        <v>929</v>
      </c>
      <c r="D19" t="s">
        <v>118</v>
      </c>
      <c r="E19" t="s">
        <v>190</v>
      </c>
      <c r="F19" t="s">
        <v>32</v>
      </c>
      <c r="G19" s="19" t="s">
        <v>956</v>
      </c>
      <c r="H19" s="19" t="s">
        <v>974</v>
      </c>
      <c r="I19" t="s">
        <v>898</v>
      </c>
      <c r="J19">
        <v>1</v>
      </c>
      <c r="K19" t="s">
        <v>987</v>
      </c>
      <c r="L19" t="s">
        <v>992</v>
      </c>
    </row>
    <row r="20" spans="1:12" x14ac:dyDescent="0.3">
      <c r="A20">
        <v>19</v>
      </c>
      <c r="B20" t="s">
        <v>995</v>
      </c>
      <c r="C20" s="19" t="s">
        <v>927</v>
      </c>
      <c r="D20" t="s">
        <v>38</v>
      </c>
      <c r="E20" t="s">
        <v>87</v>
      </c>
      <c r="F20" t="s">
        <v>928</v>
      </c>
      <c r="G20" s="19" t="s">
        <v>956</v>
      </c>
      <c r="H20" s="19" t="s">
        <v>975</v>
      </c>
      <c r="I20" t="s">
        <v>898</v>
      </c>
      <c r="J20">
        <v>99</v>
      </c>
      <c r="K20" t="s">
        <v>988</v>
      </c>
      <c r="L20" t="s">
        <v>994</v>
      </c>
    </row>
    <row r="21" spans="1:12" x14ac:dyDescent="0.3">
      <c r="A21">
        <v>20</v>
      </c>
      <c r="B21" t="s">
        <v>995</v>
      </c>
      <c r="C21" s="19" t="s">
        <v>926</v>
      </c>
      <c r="D21" t="s">
        <v>21</v>
      </c>
      <c r="E21" t="s">
        <v>45</v>
      </c>
      <c r="F21" t="s">
        <v>901</v>
      </c>
      <c r="G21" s="19" t="s">
        <v>360</v>
      </c>
      <c r="H21" s="19" t="s">
        <v>976</v>
      </c>
      <c r="I21" t="s">
        <v>900</v>
      </c>
      <c r="J21">
        <v>1</v>
      </c>
      <c r="K21" t="s">
        <v>987</v>
      </c>
      <c r="L21" t="s">
        <v>993</v>
      </c>
    </row>
    <row r="22" spans="1:12" x14ac:dyDescent="0.3">
      <c r="A22">
        <v>21</v>
      </c>
      <c r="B22" t="s">
        <v>995</v>
      </c>
      <c r="C22" s="19" t="s">
        <v>924</v>
      </c>
      <c r="D22" t="s">
        <v>31</v>
      </c>
      <c r="E22" t="s">
        <v>23</v>
      </c>
      <c r="F22" t="s">
        <v>925</v>
      </c>
      <c r="G22" s="19" t="s">
        <v>360</v>
      </c>
      <c r="H22" s="19" t="s">
        <v>977</v>
      </c>
      <c r="I22" t="s">
        <v>900</v>
      </c>
      <c r="J22">
        <v>1</v>
      </c>
      <c r="K22" t="s">
        <v>987</v>
      </c>
      <c r="L22" t="s">
        <v>994</v>
      </c>
    </row>
    <row r="23" spans="1:12" x14ac:dyDescent="0.3">
      <c r="A23">
        <v>22</v>
      </c>
      <c r="B23" t="s">
        <v>995</v>
      </c>
      <c r="C23" s="19" t="s">
        <v>922</v>
      </c>
      <c r="D23" t="s">
        <v>57</v>
      </c>
      <c r="E23" t="s">
        <v>11</v>
      </c>
      <c r="F23" t="s">
        <v>923</v>
      </c>
      <c r="G23" s="19" t="s">
        <v>360</v>
      </c>
      <c r="H23" s="19" t="s">
        <v>978</v>
      </c>
      <c r="I23" t="s">
        <v>900</v>
      </c>
      <c r="J23">
        <v>1</v>
      </c>
      <c r="K23" t="s">
        <v>987</v>
      </c>
      <c r="L23" t="s">
        <v>990</v>
      </c>
    </row>
    <row r="24" spans="1:12" x14ac:dyDescent="0.3">
      <c r="A24">
        <v>23</v>
      </c>
      <c r="B24" t="s">
        <v>995</v>
      </c>
      <c r="C24" s="19" t="s">
        <v>361</v>
      </c>
      <c r="D24" t="s">
        <v>35</v>
      </c>
      <c r="E24" t="s">
        <v>921</v>
      </c>
      <c r="F24" t="s">
        <v>20</v>
      </c>
      <c r="G24" s="19" t="s">
        <v>360</v>
      </c>
      <c r="H24" s="19" t="s">
        <v>979</v>
      </c>
      <c r="I24" t="s">
        <v>900</v>
      </c>
      <c r="J24">
        <v>1</v>
      </c>
      <c r="K24" t="s">
        <v>987</v>
      </c>
      <c r="L24" t="s">
        <v>991</v>
      </c>
    </row>
    <row r="25" spans="1:12" x14ac:dyDescent="0.3">
      <c r="A25">
        <v>24</v>
      </c>
      <c r="B25" t="s">
        <v>995</v>
      </c>
      <c r="C25" s="19" t="s">
        <v>920</v>
      </c>
      <c r="D25" t="s">
        <v>246</v>
      </c>
      <c r="E25" t="s">
        <v>260</v>
      </c>
      <c r="F25" t="s">
        <v>77</v>
      </c>
      <c r="G25" s="19" t="s">
        <v>497</v>
      </c>
      <c r="H25" s="19" t="s">
        <v>980</v>
      </c>
      <c r="I25" t="s">
        <v>897</v>
      </c>
      <c r="J25">
        <v>1</v>
      </c>
      <c r="K25" t="s">
        <v>987</v>
      </c>
      <c r="L25" t="s">
        <v>992</v>
      </c>
    </row>
    <row r="26" spans="1:12" x14ac:dyDescent="0.3">
      <c r="A26">
        <v>25</v>
      </c>
      <c r="B26" t="s">
        <v>995</v>
      </c>
      <c r="C26" s="19" t="s">
        <v>918</v>
      </c>
      <c r="D26" t="s">
        <v>34</v>
      </c>
      <c r="E26" t="s">
        <v>15</v>
      </c>
      <c r="F26" t="s">
        <v>919</v>
      </c>
      <c r="G26" s="19" t="s">
        <v>497</v>
      </c>
      <c r="H26" s="19" t="s">
        <v>981</v>
      </c>
      <c r="I26" t="s">
        <v>897</v>
      </c>
      <c r="J26">
        <v>1</v>
      </c>
      <c r="K26" t="s">
        <v>987</v>
      </c>
      <c r="L26" t="s">
        <v>994</v>
      </c>
    </row>
    <row r="27" spans="1:12" x14ac:dyDescent="0.3">
      <c r="A27">
        <v>26</v>
      </c>
      <c r="B27" t="s">
        <v>995</v>
      </c>
      <c r="C27" s="19" t="s">
        <v>916</v>
      </c>
      <c r="D27" t="s">
        <v>51</v>
      </c>
      <c r="E27" t="s">
        <v>12</v>
      </c>
      <c r="F27" t="s">
        <v>917</v>
      </c>
      <c r="G27" s="19" t="s">
        <v>497</v>
      </c>
      <c r="H27" s="19" t="s">
        <v>982</v>
      </c>
      <c r="I27" t="s">
        <v>897</v>
      </c>
      <c r="J27">
        <v>1</v>
      </c>
      <c r="K27" t="s">
        <v>987</v>
      </c>
      <c r="L27" t="s">
        <v>993</v>
      </c>
    </row>
    <row r="28" spans="1:12" x14ac:dyDescent="0.3">
      <c r="A28">
        <v>27</v>
      </c>
      <c r="B28" t="s">
        <v>995</v>
      </c>
      <c r="C28" s="19" t="s">
        <v>914</v>
      </c>
      <c r="D28" t="s">
        <v>46</v>
      </c>
      <c r="E28" t="s">
        <v>173</v>
      </c>
      <c r="F28" t="s">
        <v>915</v>
      </c>
      <c r="G28" s="19" t="s">
        <v>497</v>
      </c>
      <c r="H28" s="19" t="s">
        <v>983</v>
      </c>
      <c r="I28" t="s">
        <v>897</v>
      </c>
      <c r="J28">
        <v>1</v>
      </c>
      <c r="K28" t="s">
        <v>987</v>
      </c>
      <c r="L28" t="s">
        <v>994</v>
      </c>
    </row>
    <row r="29" spans="1:12" x14ac:dyDescent="0.3">
      <c r="A29">
        <v>28</v>
      </c>
      <c r="B29" t="s">
        <v>995</v>
      </c>
      <c r="C29" s="19" t="s">
        <v>913</v>
      </c>
      <c r="D29" t="s">
        <v>53</v>
      </c>
      <c r="E29" t="s">
        <v>54</v>
      </c>
      <c r="F29" t="s">
        <v>905</v>
      </c>
      <c r="G29" s="19" t="s">
        <v>497</v>
      </c>
      <c r="H29" s="19" t="s">
        <v>984</v>
      </c>
      <c r="I29" t="s">
        <v>897</v>
      </c>
      <c r="J29">
        <v>1</v>
      </c>
      <c r="K29" t="s">
        <v>987</v>
      </c>
      <c r="L29" t="s">
        <v>990</v>
      </c>
    </row>
    <row r="30" spans="1:12" x14ac:dyDescent="0.3">
      <c r="A30">
        <v>29</v>
      </c>
      <c r="B30" t="s">
        <v>995</v>
      </c>
      <c r="C30" s="19" t="s">
        <v>911</v>
      </c>
      <c r="D30" t="s">
        <v>39</v>
      </c>
      <c r="E30" t="s">
        <v>102</v>
      </c>
      <c r="F30" t="s">
        <v>912</v>
      </c>
      <c r="G30" s="19" t="s">
        <v>497</v>
      </c>
      <c r="H30" s="19" t="s">
        <v>985</v>
      </c>
      <c r="I30" t="s">
        <v>897</v>
      </c>
      <c r="J30">
        <v>1</v>
      </c>
      <c r="K30" t="s">
        <v>987</v>
      </c>
      <c r="L30" t="s">
        <v>991</v>
      </c>
    </row>
    <row r="31" spans="1:12" x14ac:dyDescent="0.3">
      <c r="A31">
        <v>30</v>
      </c>
      <c r="B31" t="s">
        <v>995</v>
      </c>
      <c r="C31" s="19" t="s">
        <v>910</v>
      </c>
      <c r="D31" t="s">
        <v>39</v>
      </c>
      <c r="E31" t="s">
        <v>13</v>
      </c>
      <c r="F31" t="s">
        <v>37</v>
      </c>
      <c r="G31" s="19" t="s">
        <v>456</v>
      </c>
      <c r="H31" s="19" t="s">
        <v>318</v>
      </c>
      <c r="I31" t="s">
        <v>899</v>
      </c>
      <c r="J31">
        <v>1</v>
      </c>
      <c r="K31" t="s">
        <v>987</v>
      </c>
      <c r="L31" t="s">
        <v>992</v>
      </c>
    </row>
    <row r="32" spans="1:12" x14ac:dyDescent="0.3">
      <c r="A32">
        <v>31</v>
      </c>
      <c r="B32" t="s">
        <v>995</v>
      </c>
      <c r="C32" s="19" t="s">
        <v>363</v>
      </c>
      <c r="D32" t="s">
        <v>39</v>
      </c>
      <c r="E32" t="s">
        <v>27</v>
      </c>
      <c r="F32" t="s">
        <v>211</v>
      </c>
      <c r="G32" s="19" t="s">
        <v>456</v>
      </c>
      <c r="H32" s="19" t="s">
        <v>319</v>
      </c>
      <c r="I32" t="s">
        <v>899</v>
      </c>
      <c r="J32">
        <v>1</v>
      </c>
      <c r="K32" t="s">
        <v>987</v>
      </c>
      <c r="L32" t="s">
        <v>994</v>
      </c>
    </row>
    <row r="33" spans="1:12" x14ac:dyDescent="0.3">
      <c r="A33">
        <v>32</v>
      </c>
      <c r="B33" t="s">
        <v>995</v>
      </c>
      <c r="C33" s="19" t="s">
        <v>362</v>
      </c>
      <c r="D33" t="s">
        <v>107</v>
      </c>
      <c r="E33" t="s">
        <v>17</v>
      </c>
      <c r="F33" t="s">
        <v>205</v>
      </c>
      <c r="G33" s="19" t="s">
        <v>456</v>
      </c>
      <c r="H33" s="19" t="s">
        <v>320</v>
      </c>
      <c r="I33" t="s">
        <v>899</v>
      </c>
      <c r="J33">
        <v>1</v>
      </c>
      <c r="K33" t="s">
        <v>987</v>
      </c>
      <c r="L33" t="s">
        <v>993</v>
      </c>
    </row>
    <row r="34" spans="1:12" x14ac:dyDescent="0.3">
      <c r="A34">
        <v>33</v>
      </c>
      <c r="B34" t="s">
        <v>995</v>
      </c>
      <c r="C34" s="19" t="s">
        <v>909</v>
      </c>
      <c r="D34" t="s">
        <v>110</v>
      </c>
      <c r="E34" t="s">
        <v>52</v>
      </c>
      <c r="F34" t="s">
        <v>906</v>
      </c>
      <c r="G34" s="19" t="s">
        <v>456</v>
      </c>
      <c r="H34" s="19" t="s">
        <v>321</v>
      </c>
      <c r="I34" t="s">
        <v>899</v>
      </c>
      <c r="J34">
        <v>1</v>
      </c>
      <c r="K34" t="s">
        <v>987</v>
      </c>
      <c r="L34" t="s">
        <v>994</v>
      </c>
    </row>
    <row r="35" spans="1:12" x14ac:dyDescent="0.3">
      <c r="A35">
        <v>34</v>
      </c>
      <c r="B35" t="s">
        <v>995</v>
      </c>
      <c r="C35" s="19" t="s">
        <v>364</v>
      </c>
      <c r="D35" t="s">
        <v>208</v>
      </c>
      <c r="E35" t="s">
        <v>14</v>
      </c>
      <c r="F35" t="s">
        <v>42</v>
      </c>
      <c r="G35" s="19" t="s">
        <v>456</v>
      </c>
      <c r="H35" s="19" t="s">
        <v>986</v>
      </c>
      <c r="I35" t="s">
        <v>899</v>
      </c>
      <c r="J35">
        <v>1</v>
      </c>
      <c r="K35" t="s">
        <v>987</v>
      </c>
      <c r="L35" t="s">
        <v>990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3438-0A6E-4E41-AD8D-D99FA000CCAB}">
  <dimension ref="A1:M269"/>
  <sheetViews>
    <sheetView workbookViewId="0">
      <selection activeCell="J10" sqref="J10"/>
    </sheetView>
  </sheetViews>
  <sheetFormatPr baseColWidth="10" defaultRowHeight="14.4" x14ac:dyDescent="0.3"/>
  <cols>
    <col min="2" max="2" width="15.33203125" customWidth="1"/>
    <col min="3" max="3" width="20.109375" customWidth="1"/>
    <col min="4" max="4" width="21.5546875" customWidth="1"/>
    <col min="5" max="5" width="14.88671875" customWidth="1"/>
    <col min="6" max="6" width="12.33203125" customWidth="1"/>
    <col min="8" max="8" width="11.6640625" customWidth="1"/>
    <col min="9" max="9" width="14.33203125" customWidth="1"/>
    <col min="11" max="11" width="15.5546875" customWidth="1"/>
  </cols>
  <sheetData>
    <row r="1" spans="1:13" ht="18" x14ac:dyDescent="0.3">
      <c r="A1" s="21" t="s">
        <v>891</v>
      </c>
      <c r="B1" s="22" t="s">
        <v>880</v>
      </c>
      <c r="C1" s="22" t="s">
        <v>881</v>
      </c>
      <c r="D1" s="22" t="s">
        <v>882</v>
      </c>
      <c r="E1" s="22" t="s">
        <v>883</v>
      </c>
      <c r="F1" s="22" t="s">
        <v>884</v>
      </c>
      <c r="G1" s="23" t="s">
        <v>885</v>
      </c>
      <c r="H1" s="23" t="s">
        <v>886</v>
      </c>
      <c r="I1" s="24" t="s">
        <v>887</v>
      </c>
      <c r="J1" s="22" t="s">
        <v>892</v>
      </c>
      <c r="K1" s="22" t="s">
        <v>893</v>
      </c>
      <c r="L1" s="22" t="s">
        <v>894</v>
      </c>
      <c r="M1" s="22" t="s">
        <v>895</v>
      </c>
    </row>
    <row r="2" spans="1:13" x14ac:dyDescent="0.3">
      <c r="A2" s="25">
        <v>1</v>
      </c>
      <c r="B2" s="26" t="s">
        <v>849</v>
      </c>
      <c r="C2" s="26" t="s">
        <v>9</v>
      </c>
      <c r="D2" s="26" t="s">
        <v>9</v>
      </c>
      <c r="E2" s="26">
        <v>230</v>
      </c>
      <c r="F2" s="26">
        <v>142</v>
      </c>
      <c r="G2" s="26">
        <v>115</v>
      </c>
      <c r="H2" s="26">
        <v>114</v>
      </c>
      <c r="I2" s="27">
        <v>1</v>
      </c>
      <c r="J2" s="32">
        <f>ROUNDUP(Tabla95[[#This Row],[PRESELECCIÓN]]*9%,0)</f>
        <v>21</v>
      </c>
      <c r="K2" s="32">
        <f>Tabla95[[#This Row],[PRESELECCIÓN]]+Tabla95[[#This Row],[RESERVA (9%]]</f>
        <v>251</v>
      </c>
      <c r="L2" s="33">
        <f>ROUNDUP(Tabla95[[#This Row],[TOTAL (TITULARES + RESERVAS)]]*60%,0)</f>
        <v>151</v>
      </c>
      <c r="M2" s="33">
        <f>Tabla95[[#This Row],[TOTAL (TITULARES + RESERVAS)]]-Tabla95[[#This Row],[TURNO 1]]</f>
        <v>100</v>
      </c>
    </row>
    <row r="3" spans="1:13" x14ac:dyDescent="0.3">
      <c r="A3" s="25">
        <v>2</v>
      </c>
      <c r="B3" s="26" t="s">
        <v>849</v>
      </c>
      <c r="C3" s="26" t="s">
        <v>28</v>
      </c>
      <c r="D3" s="26" t="s">
        <v>863</v>
      </c>
      <c r="E3" s="26">
        <v>146</v>
      </c>
      <c r="F3" s="26">
        <v>87</v>
      </c>
      <c r="G3" s="26">
        <v>73</v>
      </c>
      <c r="H3" s="26">
        <v>73</v>
      </c>
      <c r="I3" s="28"/>
      <c r="J3" s="26">
        <f>ROUNDUP(Tabla95[[#This Row],[PRESELECCIÓN]]*9%,0)</f>
        <v>14</v>
      </c>
      <c r="K3" s="26">
        <f>Tabla95[[#This Row],[PRESELECCIÓN]]+Tabla95[[#This Row],[RESERVA (9%]]</f>
        <v>160</v>
      </c>
      <c r="L3" s="33">
        <f>ROUNDUP(Tabla95[[#This Row],[TOTAL (TITULARES + RESERVAS)]]*60%,0)</f>
        <v>96</v>
      </c>
      <c r="M3" s="33">
        <f>Tabla95[[#This Row],[TOTAL (TITULARES + RESERVAS)]]-Tabla95[[#This Row],[TURNO 1]]</f>
        <v>64</v>
      </c>
    </row>
    <row r="4" spans="1:13" x14ac:dyDescent="0.3">
      <c r="A4" s="25">
        <v>3</v>
      </c>
      <c r="B4" s="26" t="s">
        <v>849</v>
      </c>
      <c r="C4" s="26" t="s">
        <v>30</v>
      </c>
      <c r="D4" s="26" t="s">
        <v>30</v>
      </c>
      <c r="E4" s="26">
        <v>226</v>
      </c>
      <c r="F4" s="26">
        <v>135</v>
      </c>
      <c r="G4" s="26">
        <v>113</v>
      </c>
      <c r="H4" s="26">
        <v>109</v>
      </c>
      <c r="I4" s="27">
        <v>4</v>
      </c>
      <c r="J4" s="26">
        <f>ROUNDUP(Tabla95[[#This Row],[PRESELECCIÓN]]*9%,0)</f>
        <v>21</v>
      </c>
      <c r="K4" s="26">
        <f>Tabla95[[#This Row],[PRESELECCIÓN]]+Tabla95[[#This Row],[RESERVA (9%]]</f>
        <v>247</v>
      </c>
      <c r="L4" s="33">
        <f>ROUNDUP(Tabla95[[#This Row],[TOTAL (TITULARES + RESERVAS)]]*60%,0)</f>
        <v>149</v>
      </c>
      <c r="M4" s="33">
        <f>Tabla95[[#This Row],[TOTAL (TITULARES + RESERVAS)]]-Tabla95[[#This Row],[TURNO 1]]</f>
        <v>98</v>
      </c>
    </row>
    <row r="5" spans="1:13" x14ac:dyDescent="0.3">
      <c r="A5" s="25">
        <v>4</v>
      </c>
      <c r="B5" s="26" t="s">
        <v>849</v>
      </c>
      <c r="C5" s="26" t="s">
        <v>43</v>
      </c>
      <c r="D5" s="26" t="s">
        <v>93</v>
      </c>
      <c r="E5" s="26">
        <v>450</v>
      </c>
      <c r="F5" s="26">
        <v>265</v>
      </c>
      <c r="G5" s="26">
        <v>225</v>
      </c>
      <c r="H5" s="26">
        <v>223</v>
      </c>
      <c r="I5" s="27">
        <v>2</v>
      </c>
      <c r="J5" s="26">
        <f>ROUNDUP(Tabla95[[#This Row],[PRESELECCIÓN]]*9%,0)</f>
        <v>41</v>
      </c>
      <c r="K5" s="26">
        <f>Tabla95[[#This Row],[PRESELECCIÓN]]+Tabla95[[#This Row],[RESERVA (9%]]</f>
        <v>491</v>
      </c>
      <c r="L5" s="33">
        <f>ROUNDUP(Tabla95[[#This Row],[TOTAL (TITULARES + RESERVAS)]]*60%,0)</f>
        <v>295</v>
      </c>
      <c r="M5" s="33">
        <f>Tabla95[[#This Row],[TOTAL (TITULARES + RESERVAS)]]-Tabla95[[#This Row],[TURNO 1]]</f>
        <v>196</v>
      </c>
    </row>
    <row r="6" spans="1:13" x14ac:dyDescent="0.3">
      <c r="A6" s="25">
        <v>5</v>
      </c>
      <c r="B6" s="26" t="s">
        <v>849</v>
      </c>
      <c r="C6" s="26" t="s">
        <v>49</v>
      </c>
      <c r="D6" s="26" t="s">
        <v>93</v>
      </c>
      <c r="E6" s="26">
        <v>484</v>
      </c>
      <c r="F6" s="26">
        <v>283</v>
      </c>
      <c r="G6" s="26">
        <v>242</v>
      </c>
      <c r="H6" s="26">
        <v>238</v>
      </c>
      <c r="I6" s="27">
        <v>4</v>
      </c>
      <c r="J6" s="26">
        <f>ROUNDUP(Tabla95[[#This Row],[PRESELECCIÓN]]*9%,0)</f>
        <v>44</v>
      </c>
      <c r="K6" s="26">
        <f>Tabla95[[#This Row],[PRESELECCIÓN]]+Tabla95[[#This Row],[RESERVA (9%]]</f>
        <v>528</v>
      </c>
      <c r="L6" s="33">
        <f>ROUNDUP(Tabla95[[#This Row],[TOTAL (TITULARES + RESERVAS)]]*60%,0)</f>
        <v>317</v>
      </c>
      <c r="M6" s="33">
        <f>Tabla95[[#This Row],[TOTAL (TITULARES + RESERVAS)]]-Tabla95[[#This Row],[TURNO 1]]</f>
        <v>211</v>
      </c>
    </row>
    <row r="7" spans="1:13" x14ac:dyDescent="0.3">
      <c r="A7" s="25">
        <v>6</v>
      </c>
      <c r="B7" s="26" t="s">
        <v>849</v>
      </c>
      <c r="C7" s="26" t="s">
        <v>56</v>
      </c>
      <c r="D7" s="26" t="s">
        <v>56</v>
      </c>
      <c r="E7" s="26">
        <v>308</v>
      </c>
      <c r="F7" s="26">
        <v>182</v>
      </c>
      <c r="G7" s="26">
        <v>154</v>
      </c>
      <c r="H7" s="26">
        <v>154</v>
      </c>
      <c r="I7" s="28"/>
      <c r="J7" s="26">
        <f>ROUNDUP(Tabla95[[#This Row],[PRESELECCIÓN]]*9%,0)</f>
        <v>28</v>
      </c>
      <c r="K7" s="26">
        <f>Tabla95[[#This Row],[PRESELECCIÓN]]+Tabla95[[#This Row],[RESERVA (9%]]</f>
        <v>336</v>
      </c>
      <c r="L7" s="33">
        <f>ROUNDUP(Tabla95[[#This Row],[TOTAL (TITULARES + RESERVAS)]]*60%,0)</f>
        <v>202</v>
      </c>
      <c r="M7" s="33">
        <f>Tabla95[[#This Row],[TOTAL (TITULARES + RESERVAS)]]-Tabla95[[#This Row],[TURNO 1]]</f>
        <v>134</v>
      </c>
    </row>
    <row r="8" spans="1:13" x14ac:dyDescent="0.3">
      <c r="A8" s="25">
        <v>7</v>
      </c>
      <c r="B8" s="26" t="s">
        <v>849</v>
      </c>
      <c r="C8" s="26" t="s">
        <v>58</v>
      </c>
      <c r="D8" s="26" t="s">
        <v>286</v>
      </c>
      <c r="E8" s="26">
        <v>86</v>
      </c>
      <c r="F8" s="26">
        <v>51</v>
      </c>
      <c r="G8" s="26">
        <v>43</v>
      </c>
      <c r="H8" s="26">
        <v>43</v>
      </c>
      <c r="I8" s="28"/>
      <c r="J8" s="26">
        <f>ROUNDUP(Tabla95[[#This Row],[PRESELECCIÓN]]*9%,0)</f>
        <v>8</v>
      </c>
      <c r="K8" s="26">
        <f>Tabla95[[#This Row],[PRESELECCIÓN]]+Tabla95[[#This Row],[RESERVA (9%]]</f>
        <v>94</v>
      </c>
      <c r="L8" s="33">
        <f>ROUNDUP(Tabla95[[#This Row],[TOTAL (TITULARES + RESERVAS)]]*60%,0)</f>
        <v>57</v>
      </c>
      <c r="M8" s="33">
        <f>Tabla95[[#This Row],[TOTAL (TITULARES + RESERVAS)]]-Tabla95[[#This Row],[TURNO 1]]</f>
        <v>37</v>
      </c>
    </row>
    <row r="9" spans="1:13" x14ac:dyDescent="0.3">
      <c r="A9" s="25">
        <v>8</v>
      </c>
      <c r="B9" s="26" t="s">
        <v>849</v>
      </c>
      <c r="C9" s="26" t="s">
        <v>59</v>
      </c>
      <c r="D9" s="26" t="s">
        <v>854</v>
      </c>
      <c r="E9" s="26">
        <v>214</v>
      </c>
      <c r="F9" s="26">
        <v>128</v>
      </c>
      <c r="G9" s="26">
        <v>107</v>
      </c>
      <c r="H9" s="26">
        <v>107</v>
      </c>
      <c r="I9" s="28"/>
      <c r="J9" s="26">
        <f>ROUNDUP(Tabla95[[#This Row],[PRESELECCIÓN]]*9%,0)</f>
        <v>20</v>
      </c>
      <c r="K9" s="26">
        <f>Tabla95[[#This Row],[PRESELECCIÓN]]+Tabla95[[#This Row],[RESERVA (9%]]</f>
        <v>234</v>
      </c>
      <c r="L9" s="33">
        <f>ROUNDUP(Tabla95[[#This Row],[TOTAL (TITULARES + RESERVAS)]]*60%,0)</f>
        <v>141</v>
      </c>
      <c r="M9" s="33">
        <f>Tabla95[[#This Row],[TOTAL (TITULARES + RESERVAS)]]-Tabla95[[#This Row],[TURNO 1]]</f>
        <v>93</v>
      </c>
    </row>
    <row r="10" spans="1:13" x14ac:dyDescent="0.3">
      <c r="A10" s="25">
        <v>9</v>
      </c>
      <c r="B10" s="26" t="s">
        <v>849</v>
      </c>
      <c r="C10" s="26" t="s">
        <v>60</v>
      </c>
      <c r="D10" s="26" t="s">
        <v>851</v>
      </c>
      <c r="E10" s="26">
        <v>462</v>
      </c>
      <c r="F10" s="26">
        <v>270</v>
      </c>
      <c r="G10" s="26">
        <v>231</v>
      </c>
      <c r="H10" s="26">
        <v>230</v>
      </c>
      <c r="I10" s="27">
        <v>1</v>
      </c>
      <c r="J10" s="26">
        <f>ROUNDUP(Tabla95[[#This Row],[PRESELECCIÓN]]*9%,0)</f>
        <v>42</v>
      </c>
      <c r="K10" s="26">
        <f>Tabla95[[#This Row],[PRESELECCIÓN]]+Tabla95[[#This Row],[RESERVA (9%]]</f>
        <v>504</v>
      </c>
      <c r="L10" s="33">
        <f>ROUNDUP(Tabla95[[#This Row],[TOTAL (TITULARES + RESERVAS)]]*60%,0)</f>
        <v>303</v>
      </c>
      <c r="M10" s="33">
        <f>Tabla95[[#This Row],[TOTAL (TITULARES + RESERVAS)]]-Tabla95[[#This Row],[TURNO 1]]</f>
        <v>201</v>
      </c>
    </row>
    <row r="11" spans="1:13" x14ac:dyDescent="0.3">
      <c r="A11" s="25">
        <v>10</v>
      </c>
      <c r="B11" s="26" t="s">
        <v>849</v>
      </c>
      <c r="C11" s="26" t="s">
        <v>62</v>
      </c>
      <c r="D11" s="26" t="s">
        <v>851</v>
      </c>
      <c r="E11" s="26">
        <v>434</v>
      </c>
      <c r="F11" s="26">
        <v>254</v>
      </c>
      <c r="G11" s="26">
        <v>217</v>
      </c>
      <c r="H11" s="26">
        <v>216</v>
      </c>
      <c r="I11" s="27">
        <v>1</v>
      </c>
      <c r="J11" s="26">
        <f>ROUNDUP(Tabla95[[#This Row],[PRESELECCIÓN]]*9%,0)</f>
        <v>40</v>
      </c>
      <c r="K11" s="26">
        <f>Tabla95[[#This Row],[PRESELECCIÓN]]+Tabla95[[#This Row],[RESERVA (9%]]</f>
        <v>474</v>
      </c>
      <c r="L11" s="33">
        <f>ROUNDUP(Tabla95[[#This Row],[TOTAL (TITULARES + RESERVAS)]]*60%,0)</f>
        <v>285</v>
      </c>
      <c r="M11" s="33">
        <f>Tabla95[[#This Row],[TOTAL (TITULARES + RESERVAS)]]-Tabla95[[#This Row],[TURNO 1]]</f>
        <v>189</v>
      </c>
    </row>
    <row r="12" spans="1:13" x14ac:dyDescent="0.3">
      <c r="A12" s="25">
        <v>11</v>
      </c>
      <c r="B12" s="26" t="s">
        <v>849</v>
      </c>
      <c r="C12" s="26" t="s">
        <v>64</v>
      </c>
      <c r="D12" s="26" t="s">
        <v>848</v>
      </c>
      <c r="E12" s="26">
        <v>628</v>
      </c>
      <c r="F12" s="26">
        <v>373</v>
      </c>
      <c r="G12" s="26">
        <v>314</v>
      </c>
      <c r="H12" s="26">
        <v>311</v>
      </c>
      <c r="I12" s="27">
        <v>3</v>
      </c>
      <c r="J12" s="26">
        <f>ROUNDUP(Tabla95[[#This Row],[PRESELECCIÓN]]*9%,0)</f>
        <v>57</v>
      </c>
      <c r="K12" s="26">
        <f>Tabla95[[#This Row],[PRESELECCIÓN]]+Tabla95[[#This Row],[RESERVA (9%]]</f>
        <v>685</v>
      </c>
      <c r="L12" s="33">
        <f>ROUNDUP(Tabla95[[#This Row],[TOTAL (TITULARES + RESERVAS)]]*60%,0)</f>
        <v>411</v>
      </c>
      <c r="M12" s="33">
        <f>Tabla95[[#This Row],[TOTAL (TITULARES + RESERVAS)]]-Tabla95[[#This Row],[TURNO 1]]</f>
        <v>274</v>
      </c>
    </row>
    <row r="13" spans="1:13" x14ac:dyDescent="0.3">
      <c r="A13" s="25">
        <v>12</v>
      </c>
      <c r="B13" s="26" t="s">
        <v>840</v>
      </c>
      <c r="C13" s="26" t="s">
        <v>66</v>
      </c>
      <c r="D13" s="26" t="s">
        <v>66</v>
      </c>
      <c r="E13" s="26">
        <v>156</v>
      </c>
      <c r="F13" s="26">
        <v>96</v>
      </c>
      <c r="G13" s="26">
        <v>78</v>
      </c>
      <c r="H13" s="26">
        <v>76</v>
      </c>
      <c r="I13" s="27">
        <v>2</v>
      </c>
      <c r="J13" s="26">
        <f>ROUNDUP(Tabla95[[#This Row],[PRESELECCIÓN]]*9%,0)</f>
        <v>15</v>
      </c>
      <c r="K13" s="26">
        <f>Tabla95[[#This Row],[PRESELECCIÓN]]+Tabla95[[#This Row],[RESERVA (9%]]</f>
        <v>171</v>
      </c>
      <c r="L13" s="33">
        <f>ROUNDUP(Tabla95[[#This Row],[TOTAL (TITULARES + RESERVAS)]]*60%,0)</f>
        <v>103</v>
      </c>
      <c r="M13" s="33">
        <f>Tabla95[[#This Row],[TOTAL (TITULARES + RESERVAS)]]-Tabla95[[#This Row],[TURNO 1]]</f>
        <v>68</v>
      </c>
    </row>
    <row r="14" spans="1:13" x14ac:dyDescent="0.3">
      <c r="A14" s="25">
        <v>13</v>
      </c>
      <c r="B14" s="26" t="s">
        <v>840</v>
      </c>
      <c r="C14" s="26" t="s">
        <v>67</v>
      </c>
      <c r="D14" s="26" t="s">
        <v>67</v>
      </c>
      <c r="E14" s="26">
        <v>116</v>
      </c>
      <c r="F14" s="26">
        <v>72</v>
      </c>
      <c r="G14" s="26">
        <v>58</v>
      </c>
      <c r="H14" s="26">
        <v>55</v>
      </c>
      <c r="I14" s="27">
        <v>3</v>
      </c>
      <c r="J14" s="26">
        <f>ROUNDUP(Tabla95[[#This Row],[PRESELECCIÓN]]*9%,0)</f>
        <v>11</v>
      </c>
      <c r="K14" s="26">
        <f>Tabla95[[#This Row],[PRESELECCIÓN]]+Tabla95[[#This Row],[RESERVA (9%]]</f>
        <v>127</v>
      </c>
      <c r="L14" s="33">
        <f>ROUNDUP(Tabla95[[#This Row],[TOTAL (TITULARES + RESERVAS)]]*60%,0)</f>
        <v>77</v>
      </c>
      <c r="M14" s="33">
        <f>Tabla95[[#This Row],[TOTAL (TITULARES + RESERVAS)]]-Tabla95[[#This Row],[TURNO 1]]</f>
        <v>50</v>
      </c>
    </row>
    <row r="15" spans="1:13" x14ac:dyDescent="0.3">
      <c r="A15" s="25">
        <v>14</v>
      </c>
      <c r="B15" s="26" t="s">
        <v>840</v>
      </c>
      <c r="C15" s="26" t="s">
        <v>68</v>
      </c>
      <c r="D15" s="26" t="s">
        <v>68</v>
      </c>
      <c r="E15" s="26">
        <v>60</v>
      </c>
      <c r="F15" s="26">
        <v>35</v>
      </c>
      <c r="G15" s="26">
        <v>30</v>
      </c>
      <c r="H15" s="26">
        <v>30</v>
      </c>
      <c r="I15" s="28"/>
      <c r="J15" s="26">
        <f>ROUNDUP(Tabla95[[#This Row],[PRESELECCIÓN]]*9%,0)</f>
        <v>6</v>
      </c>
      <c r="K15" s="26">
        <f>Tabla95[[#This Row],[PRESELECCIÓN]]+Tabla95[[#This Row],[RESERVA (9%]]</f>
        <v>66</v>
      </c>
      <c r="L15" s="33">
        <f>ROUNDUP(Tabla95[[#This Row],[TOTAL (TITULARES + RESERVAS)]]*60%,0)</f>
        <v>40</v>
      </c>
      <c r="M15" s="33">
        <f>Tabla95[[#This Row],[TOTAL (TITULARES + RESERVAS)]]-Tabla95[[#This Row],[TURNO 1]]</f>
        <v>26</v>
      </c>
    </row>
    <row r="16" spans="1:13" x14ac:dyDescent="0.3">
      <c r="A16" s="25">
        <v>15</v>
      </c>
      <c r="B16" s="26" t="s">
        <v>840</v>
      </c>
      <c r="C16" s="26" t="s">
        <v>69</v>
      </c>
      <c r="D16" s="26" t="s">
        <v>842</v>
      </c>
      <c r="E16" s="26">
        <v>478</v>
      </c>
      <c r="F16" s="26">
        <v>292</v>
      </c>
      <c r="G16" s="26">
        <v>239</v>
      </c>
      <c r="H16" s="26">
        <v>232</v>
      </c>
      <c r="I16" s="27">
        <v>7</v>
      </c>
      <c r="J16" s="26">
        <f>ROUNDUP(Tabla95[[#This Row],[PRESELECCIÓN]]*9%,0)</f>
        <v>44</v>
      </c>
      <c r="K16" s="26">
        <f>Tabla95[[#This Row],[PRESELECCIÓN]]+Tabla95[[#This Row],[RESERVA (9%]]</f>
        <v>522</v>
      </c>
      <c r="L16" s="33">
        <f>ROUNDUP(Tabla95[[#This Row],[TOTAL (TITULARES + RESERVAS)]]*60%,0)</f>
        <v>314</v>
      </c>
      <c r="M16" s="33">
        <f>Tabla95[[#This Row],[TOTAL (TITULARES + RESERVAS)]]-Tabla95[[#This Row],[TURNO 1]]</f>
        <v>208</v>
      </c>
    </row>
    <row r="17" spans="1:13" x14ac:dyDescent="0.3">
      <c r="A17" s="25">
        <v>16</v>
      </c>
      <c r="B17" s="26" t="s">
        <v>840</v>
      </c>
      <c r="C17" s="26" t="s">
        <v>71</v>
      </c>
      <c r="D17" s="26" t="s">
        <v>842</v>
      </c>
      <c r="E17" s="26">
        <v>522</v>
      </c>
      <c r="F17" s="26">
        <v>316</v>
      </c>
      <c r="G17" s="26">
        <v>261</v>
      </c>
      <c r="H17" s="26">
        <v>256</v>
      </c>
      <c r="I17" s="27">
        <v>5</v>
      </c>
      <c r="J17" s="26">
        <f>ROUNDUP(Tabla95[[#This Row],[PRESELECCIÓN]]*9%,0)</f>
        <v>47</v>
      </c>
      <c r="K17" s="26">
        <f>Tabla95[[#This Row],[PRESELECCIÓN]]+Tabla95[[#This Row],[RESERVA (9%]]</f>
        <v>569</v>
      </c>
      <c r="L17" s="33">
        <f>ROUNDUP(Tabla95[[#This Row],[TOTAL (TITULARES + RESERVAS)]]*60%,0)</f>
        <v>342</v>
      </c>
      <c r="M17" s="33">
        <f>Tabla95[[#This Row],[TOTAL (TITULARES + RESERVAS)]]-Tabla95[[#This Row],[TURNO 1]]</f>
        <v>227</v>
      </c>
    </row>
    <row r="18" spans="1:13" x14ac:dyDescent="0.3">
      <c r="A18" s="25">
        <v>17</v>
      </c>
      <c r="B18" s="26" t="s">
        <v>840</v>
      </c>
      <c r="C18" s="26" t="s">
        <v>72</v>
      </c>
      <c r="D18" s="26" t="s">
        <v>839</v>
      </c>
      <c r="E18" s="26">
        <v>426</v>
      </c>
      <c r="F18" s="26">
        <v>258</v>
      </c>
      <c r="G18" s="26">
        <v>213</v>
      </c>
      <c r="H18" s="26">
        <v>205</v>
      </c>
      <c r="I18" s="27">
        <v>8</v>
      </c>
      <c r="J18" s="26">
        <f>ROUNDUP(Tabla95[[#This Row],[PRESELECCIÓN]]*9%,0)</f>
        <v>39</v>
      </c>
      <c r="K18" s="26">
        <f>Tabla95[[#This Row],[PRESELECCIÓN]]+Tabla95[[#This Row],[RESERVA (9%]]</f>
        <v>465</v>
      </c>
      <c r="L18" s="33">
        <f>ROUNDUP(Tabla95[[#This Row],[TOTAL (TITULARES + RESERVAS)]]*60%,0)</f>
        <v>279</v>
      </c>
      <c r="M18" s="33">
        <f>Tabla95[[#This Row],[TOTAL (TITULARES + RESERVAS)]]-Tabla95[[#This Row],[TURNO 1]]</f>
        <v>186</v>
      </c>
    </row>
    <row r="19" spans="1:13" x14ac:dyDescent="0.3">
      <c r="A19" s="25">
        <v>18</v>
      </c>
      <c r="B19" s="26" t="s">
        <v>821</v>
      </c>
      <c r="C19" s="26" t="s">
        <v>73</v>
      </c>
      <c r="D19" s="26" t="s">
        <v>837</v>
      </c>
      <c r="E19" s="26">
        <v>66</v>
      </c>
      <c r="F19" s="26">
        <v>41</v>
      </c>
      <c r="G19" s="26">
        <v>33</v>
      </c>
      <c r="H19" s="26">
        <v>33</v>
      </c>
      <c r="I19" s="28"/>
      <c r="J19" s="26">
        <f>ROUNDUP(Tabla95[[#This Row],[PRESELECCIÓN]]*9%,0)</f>
        <v>6</v>
      </c>
      <c r="K19" s="26">
        <f>Tabla95[[#This Row],[PRESELECCIÓN]]+Tabla95[[#This Row],[RESERVA (9%]]</f>
        <v>72</v>
      </c>
      <c r="L19" s="33">
        <f>ROUNDUP(Tabla95[[#This Row],[TOTAL (TITULARES + RESERVAS)]]*60%,0)</f>
        <v>44</v>
      </c>
      <c r="M19" s="33">
        <f>Tabla95[[#This Row],[TOTAL (TITULARES + RESERVAS)]]-Tabla95[[#This Row],[TURNO 1]]</f>
        <v>28</v>
      </c>
    </row>
    <row r="20" spans="1:13" x14ac:dyDescent="0.3">
      <c r="A20" s="25">
        <v>19</v>
      </c>
      <c r="B20" s="26" t="s">
        <v>821</v>
      </c>
      <c r="C20" s="26" t="s">
        <v>74</v>
      </c>
      <c r="D20" s="26" t="s">
        <v>74</v>
      </c>
      <c r="E20" s="26">
        <v>98</v>
      </c>
      <c r="F20" s="26">
        <v>62</v>
      </c>
      <c r="G20" s="26">
        <v>49</v>
      </c>
      <c r="H20" s="26">
        <v>47</v>
      </c>
      <c r="I20" s="27">
        <v>2</v>
      </c>
      <c r="J20" s="26">
        <f>ROUNDUP(Tabla95[[#This Row],[PRESELECCIÓN]]*9%,0)</f>
        <v>9</v>
      </c>
      <c r="K20" s="26">
        <f>Tabla95[[#This Row],[PRESELECCIÓN]]+Tabla95[[#This Row],[RESERVA (9%]]</f>
        <v>107</v>
      </c>
      <c r="L20" s="33">
        <f>ROUNDUP(Tabla95[[#This Row],[TOTAL (TITULARES + RESERVAS)]]*60%,0)</f>
        <v>65</v>
      </c>
      <c r="M20" s="33">
        <f>Tabla95[[#This Row],[TOTAL (TITULARES + RESERVAS)]]-Tabla95[[#This Row],[TURNO 1]]</f>
        <v>42</v>
      </c>
    </row>
    <row r="21" spans="1:13" ht="18" x14ac:dyDescent="0.3">
      <c r="A21" s="25">
        <v>20</v>
      </c>
      <c r="B21" s="26" t="s">
        <v>821</v>
      </c>
      <c r="C21" s="26" t="s">
        <v>75</v>
      </c>
      <c r="D21" s="26" t="s">
        <v>539</v>
      </c>
      <c r="E21" s="26">
        <v>40</v>
      </c>
      <c r="F21" s="26">
        <v>26</v>
      </c>
      <c r="G21" s="26">
        <v>20</v>
      </c>
      <c r="H21" s="26">
        <v>20</v>
      </c>
      <c r="I21" s="28"/>
      <c r="J21" s="26">
        <f>ROUNDUP(Tabla95[[#This Row],[PRESELECCIÓN]]*9%,0)</f>
        <v>4</v>
      </c>
      <c r="K21" s="26">
        <f>Tabla95[[#This Row],[PRESELECCIÓN]]+Tabla95[[#This Row],[RESERVA (9%]]</f>
        <v>44</v>
      </c>
      <c r="L21" s="33">
        <f>ROUNDUP(Tabla95[[#This Row],[TOTAL (TITULARES + RESERVAS)]]*60%,0)</f>
        <v>27</v>
      </c>
      <c r="M21" s="33">
        <f>Tabla95[[#This Row],[TOTAL (TITULARES + RESERVAS)]]-Tabla95[[#This Row],[TURNO 1]]</f>
        <v>17</v>
      </c>
    </row>
    <row r="22" spans="1:13" x14ac:dyDescent="0.3">
      <c r="A22" s="25">
        <v>21</v>
      </c>
      <c r="B22" s="26" t="s">
        <v>821</v>
      </c>
      <c r="C22" s="26" t="s">
        <v>76</v>
      </c>
      <c r="D22" s="26" t="s">
        <v>76</v>
      </c>
      <c r="E22" s="26">
        <v>468</v>
      </c>
      <c r="F22" s="26">
        <v>281</v>
      </c>
      <c r="G22" s="26">
        <v>234</v>
      </c>
      <c r="H22" s="26">
        <v>225</v>
      </c>
      <c r="I22" s="27">
        <v>9</v>
      </c>
      <c r="J22" s="26">
        <f>ROUNDUP(Tabla95[[#This Row],[PRESELECCIÓN]]*9%,0)</f>
        <v>43</v>
      </c>
      <c r="K22" s="26">
        <f>Tabla95[[#This Row],[PRESELECCIÓN]]+Tabla95[[#This Row],[RESERVA (9%]]</f>
        <v>511</v>
      </c>
      <c r="L22" s="33">
        <f>ROUNDUP(Tabla95[[#This Row],[TOTAL (TITULARES + RESERVAS)]]*60%,0)</f>
        <v>307</v>
      </c>
      <c r="M22" s="33">
        <f>Tabla95[[#This Row],[TOTAL (TITULARES + RESERVAS)]]-Tabla95[[#This Row],[TURNO 1]]</f>
        <v>204</v>
      </c>
    </row>
    <row r="23" spans="1:13" x14ac:dyDescent="0.3">
      <c r="A23" s="25">
        <v>22</v>
      </c>
      <c r="B23" s="26" t="s">
        <v>821</v>
      </c>
      <c r="C23" s="26" t="s">
        <v>78</v>
      </c>
      <c r="D23" s="26" t="s">
        <v>831</v>
      </c>
      <c r="E23" s="26">
        <v>140</v>
      </c>
      <c r="F23" s="26">
        <v>85</v>
      </c>
      <c r="G23" s="26">
        <v>70</v>
      </c>
      <c r="H23" s="26">
        <v>68</v>
      </c>
      <c r="I23" s="27">
        <v>2</v>
      </c>
      <c r="J23" s="26">
        <f>ROUNDUP(Tabla95[[#This Row],[PRESELECCIÓN]]*9%,0)</f>
        <v>13</v>
      </c>
      <c r="K23" s="26">
        <f>Tabla95[[#This Row],[PRESELECCIÓN]]+Tabla95[[#This Row],[RESERVA (9%]]</f>
        <v>153</v>
      </c>
      <c r="L23" s="33">
        <f>ROUNDUP(Tabla95[[#This Row],[TOTAL (TITULARES + RESERVAS)]]*60%,0)</f>
        <v>92</v>
      </c>
      <c r="M23" s="33">
        <f>Tabla95[[#This Row],[TOTAL (TITULARES + RESERVAS)]]-Tabla95[[#This Row],[TURNO 1]]</f>
        <v>61</v>
      </c>
    </row>
    <row r="24" spans="1:13" x14ac:dyDescent="0.3">
      <c r="A24" s="25">
        <v>23</v>
      </c>
      <c r="B24" s="26" t="s">
        <v>821</v>
      </c>
      <c r="C24" s="26" t="s">
        <v>80</v>
      </c>
      <c r="D24" s="26" t="s">
        <v>829</v>
      </c>
      <c r="E24" s="26">
        <v>128</v>
      </c>
      <c r="F24" s="26">
        <v>79</v>
      </c>
      <c r="G24" s="26">
        <v>64</v>
      </c>
      <c r="H24" s="26">
        <v>63</v>
      </c>
      <c r="I24" s="27">
        <v>1</v>
      </c>
      <c r="J24" s="26">
        <f>ROUNDUP(Tabla95[[#This Row],[PRESELECCIÓN]]*9%,0)</f>
        <v>12</v>
      </c>
      <c r="K24" s="26">
        <f>Tabla95[[#This Row],[PRESELECCIÓN]]+Tabla95[[#This Row],[RESERVA (9%]]</f>
        <v>140</v>
      </c>
      <c r="L24" s="33">
        <f>ROUNDUP(Tabla95[[#This Row],[TOTAL (TITULARES + RESERVAS)]]*60%,0)</f>
        <v>84</v>
      </c>
      <c r="M24" s="33">
        <f>Tabla95[[#This Row],[TOTAL (TITULARES + RESERVAS)]]-Tabla95[[#This Row],[TURNO 1]]</f>
        <v>56</v>
      </c>
    </row>
    <row r="25" spans="1:13" ht="18" x14ac:dyDescent="0.3">
      <c r="A25" s="25">
        <v>24</v>
      </c>
      <c r="B25" s="26" t="s">
        <v>821</v>
      </c>
      <c r="C25" s="26" t="s">
        <v>81</v>
      </c>
      <c r="D25" s="26" t="s">
        <v>827</v>
      </c>
      <c r="E25" s="26">
        <v>64</v>
      </c>
      <c r="F25" s="26">
        <v>39</v>
      </c>
      <c r="G25" s="26">
        <v>32</v>
      </c>
      <c r="H25" s="26">
        <v>32</v>
      </c>
      <c r="I25" s="28"/>
      <c r="J25" s="26">
        <f>ROUNDUP(Tabla95[[#This Row],[PRESELECCIÓN]]*9%,0)</f>
        <v>6</v>
      </c>
      <c r="K25" s="26">
        <f>Tabla95[[#This Row],[PRESELECCIÓN]]+Tabla95[[#This Row],[RESERVA (9%]]</f>
        <v>70</v>
      </c>
      <c r="L25" s="33">
        <f>ROUNDUP(Tabla95[[#This Row],[TOTAL (TITULARES + RESERVAS)]]*60%,0)</f>
        <v>42</v>
      </c>
      <c r="M25" s="33">
        <f>Tabla95[[#This Row],[TOTAL (TITULARES + RESERVAS)]]-Tabla95[[#This Row],[TURNO 1]]</f>
        <v>28</v>
      </c>
    </row>
    <row r="26" spans="1:13" x14ac:dyDescent="0.3">
      <c r="A26" s="25">
        <v>25</v>
      </c>
      <c r="B26" s="26" t="s">
        <v>821</v>
      </c>
      <c r="C26" s="26" t="s">
        <v>83</v>
      </c>
      <c r="D26" s="26" t="s">
        <v>825</v>
      </c>
      <c r="E26" s="26">
        <v>68</v>
      </c>
      <c r="F26" s="26">
        <v>43</v>
      </c>
      <c r="G26" s="26">
        <v>34</v>
      </c>
      <c r="H26" s="26">
        <v>34</v>
      </c>
      <c r="I26" s="28"/>
      <c r="J26" s="26">
        <f>ROUNDUP(Tabla95[[#This Row],[PRESELECCIÓN]]*9%,0)</f>
        <v>7</v>
      </c>
      <c r="K26" s="26">
        <f>Tabla95[[#This Row],[PRESELECCIÓN]]+Tabla95[[#This Row],[RESERVA (9%]]</f>
        <v>75</v>
      </c>
      <c r="L26" s="33">
        <f>ROUNDUP(Tabla95[[#This Row],[TOTAL (TITULARES + RESERVAS)]]*60%,0)</f>
        <v>45</v>
      </c>
      <c r="M26" s="33">
        <f>Tabla95[[#This Row],[TOTAL (TITULARES + RESERVAS)]]-Tabla95[[#This Row],[TURNO 1]]</f>
        <v>30</v>
      </c>
    </row>
    <row r="27" spans="1:13" x14ac:dyDescent="0.3">
      <c r="A27" s="25">
        <v>26</v>
      </c>
      <c r="B27" s="26" t="s">
        <v>821</v>
      </c>
      <c r="C27" s="26" t="s">
        <v>84</v>
      </c>
      <c r="D27" s="26" t="s">
        <v>823</v>
      </c>
      <c r="E27" s="26">
        <v>152</v>
      </c>
      <c r="F27" s="26">
        <v>90</v>
      </c>
      <c r="G27" s="26">
        <v>76</v>
      </c>
      <c r="H27" s="26">
        <v>74</v>
      </c>
      <c r="I27" s="27">
        <v>2</v>
      </c>
      <c r="J27" s="26">
        <f>ROUNDUP(Tabla95[[#This Row],[PRESELECCIÓN]]*9%,0)</f>
        <v>14</v>
      </c>
      <c r="K27" s="26">
        <f>Tabla95[[#This Row],[PRESELECCIÓN]]+Tabla95[[#This Row],[RESERVA (9%]]</f>
        <v>166</v>
      </c>
      <c r="L27" s="33">
        <f>ROUNDUP(Tabla95[[#This Row],[TOTAL (TITULARES + RESERVAS)]]*60%,0)</f>
        <v>100</v>
      </c>
      <c r="M27" s="33">
        <f>Tabla95[[#This Row],[TOTAL (TITULARES + RESERVAS)]]-Tabla95[[#This Row],[TURNO 1]]</f>
        <v>66</v>
      </c>
    </row>
    <row r="28" spans="1:13" x14ac:dyDescent="0.3">
      <c r="A28" s="25">
        <v>27</v>
      </c>
      <c r="B28" s="26" t="s">
        <v>821</v>
      </c>
      <c r="C28" s="26" t="s">
        <v>85</v>
      </c>
      <c r="D28" s="26" t="s">
        <v>85</v>
      </c>
      <c r="E28" s="26">
        <v>84</v>
      </c>
      <c r="F28" s="26">
        <v>51</v>
      </c>
      <c r="G28" s="26">
        <v>42</v>
      </c>
      <c r="H28" s="26">
        <v>42</v>
      </c>
      <c r="I28" s="28"/>
      <c r="J28" s="26">
        <f>ROUNDUP(Tabla95[[#This Row],[PRESELECCIÓN]]*9%,0)</f>
        <v>8</v>
      </c>
      <c r="K28" s="26">
        <f>Tabla95[[#This Row],[PRESELECCIÓN]]+Tabla95[[#This Row],[RESERVA (9%]]</f>
        <v>92</v>
      </c>
      <c r="L28" s="33">
        <f>ROUNDUP(Tabla95[[#This Row],[TOTAL (TITULARES + RESERVAS)]]*60%,0)</f>
        <v>56</v>
      </c>
      <c r="M28" s="33">
        <f>Tabla95[[#This Row],[TOTAL (TITULARES + RESERVAS)]]-Tabla95[[#This Row],[TURNO 1]]</f>
        <v>36</v>
      </c>
    </row>
    <row r="29" spans="1:13" x14ac:dyDescent="0.3">
      <c r="A29" s="25">
        <v>28</v>
      </c>
      <c r="B29" s="26" t="s">
        <v>810</v>
      </c>
      <c r="C29" s="26" t="s">
        <v>86</v>
      </c>
      <c r="D29" s="26" t="s">
        <v>818</v>
      </c>
      <c r="E29" s="26">
        <v>430</v>
      </c>
      <c r="F29" s="26">
        <v>261</v>
      </c>
      <c r="G29" s="26">
        <v>215</v>
      </c>
      <c r="H29" s="26">
        <v>213</v>
      </c>
      <c r="I29" s="27">
        <v>2</v>
      </c>
      <c r="J29" s="26">
        <f>ROUNDUP(Tabla95[[#This Row],[PRESELECCIÓN]]*9%,0)</f>
        <v>39</v>
      </c>
      <c r="K29" s="26">
        <f>Tabla95[[#This Row],[PRESELECCIÓN]]+Tabla95[[#This Row],[RESERVA (9%]]</f>
        <v>469</v>
      </c>
      <c r="L29" s="33">
        <f>ROUNDUP(Tabla95[[#This Row],[TOTAL (TITULARES + RESERVAS)]]*60%,0)</f>
        <v>282</v>
      </c>
      <c r="M29" s="33">
        <f>Tabla95[[#This Row],[TOTAL (TITULARES + RESERVAS)]]-Tabla95[[#This Row],[TURNO 1]]</f>
        <v>187</v>
      </c>
    </row>
    <row r="30" spans="1:13" x14ac:dyDescent="0.3">
      <c r="A30" s="25">
        <v>29</v>
      </c>
      <c r="B30" s="26" t="s">
        <v>810</v>
      </c>
      <c r="C30" s="26" t="s">
        <v>88</v>
      </c>
      <c r="D30" s="26" t="s">
        <v>88</v>
      </c>
      <c r="E30" s="26">
        <v>312</v>
      </c>
      <c r="F30" s="26">
        <v>191</v>
      </c>
      <c r="G30" s="26">
        <v>156</v>
      </c>
      <c r="H30" s="26">
        <v>154</v>
      </c>
      <c r="I30" s="27">
        <v>2</v>
      </c>
      <c r="J30" s="26">
        <f>ROUNDUP(Tabla95[[#This Row],[PRESELECCIÓN]]*9%,0)</f>
        <v>29</v>
      </c>
      <c r="K30" s="26">
        <f>Tabla95[[#This Row],[PRESELECCIÓN]]+Tabla95[[#This Row],[RESERVA (9%]]</f>
        <v>341</v>
      </c>
      <c r="L30" s="33">
        <f>ROUNDUP(Tabla95[[#This Row],[TOTAL (TITULARES + RESERVAS)]]*60%,0)</f>
        <v>205</v>
      </c>
      <c r="M30" s="33">
        <f>Tabla95[[#This Row],[TOTAL (TITULARES + RESERVAS)]]-Tabla95[[#This Row],[TURNO 1]]</f>
        <v>136</v>
      </c>
    </row>
    <row r="31" spans="1:13" x14ac:dyDescent="0.3">
      <c r="A31" s="25">
        <v>30</v>
      </c>
      <c r="B31" s="26" t="s">
        <v>810</v>
      </c>
      <c r="C31" s="26" t="s">
        <v>90</v>
      </c>
      <c r="D31" s="26" t="s">
        <v>815</v>
      </c>
      <c r="E31" s="26">
        <v>76</v>
      </c>
      <c r="F31" s="26">
        <v>47</v>
      </c>
      <c r="G31" s="26">
        <v>38</v>
      </c>
      <c r="H31" s="26">
        <v>38</v>
      </c>
      <c r="I31" s="28"/>
      <c r="J31" s="26">
        <f>ROUNDUP(Tabla95[[#This Row],[PRESELECCIÓN]]*9%,0)</f>
        <v>7</v>
      </c>
      <c r="K31" s="26">
        <f>Tabla95[[#This Row],[PRESELECCIÓN]]+Tabla95[[#This Row],[RESERVA (9%]]</f>
        <v>83</v>
      </c>
      <c r="L31" s="33">
        <f>ROUNDUP(Tabla95[[#This Row],[TOTAL (TITULARES + RESERVAS)]]*60%,0)</f>
        <v>50</v>
      </c>
      <c r="M31" s="33">
        <f>Tabla95[[#This Row],[TOTAL (TITULARES + RESERVAS)]]-Tabla95[[#This Row],[TURNO 1]]</f>
        <v>33</v>
      </c>
    </row>
    <row r="32" spans="1:13" x14ac:dyDescent="0.3">
      <c r="A32" s="25">
        <v>31</v>
      </c>
      <c r="B32" s="26" t="s">
        <v>810</v>
      </c>
      <c r="C32" s="26" t="s">
        <v>91</v>
      </c>
      <c r="D32" s="26" t="s">
        <v>91</v>
      </c>
      <c r="E32" s="26">
        <v>132</v>
      </c>
      <c r="F32" s="26">
        <v>82</v>
      </c>
      <c r="G32" s="26">
        <v>66</v>
      </c>
      <c r="H32" s="26">
        <v>66</v>
      </c>
      <c r="I32" s="28"/>
      <c r="J32" s="26">
        <f>ROUNDUP(Tabla95[[#This Row],[PRESELECCIÓN]]*9%,0)</f>
        <v>12</v>
      </c>
      <c r="K32" s="26">
        <f>Tabla95[[#This Row],[PRESELECCIÓN]]+Tabla95[[#This Row],[RESERVA (9%]]</f>
        <v>144</v>
      </c>
      <c r="L32" s="33">
        <f>ROUNDUP(Tabla95[[#This Row],[TOTAL (TITULARES + RESERVAS)]]*60%,0)</f>
        <v>87</v>
      </c>
      <c r="M32" s="33">
        <f>Tabla95[[#This Row],[TOTAL (TITULARES + RESERVAS)]]-Tabla95[[#This Row],[TURNO 1]]</f>
        <v>57</v>
      </c>
    </row>
    <row r="33" spans="1:13" x14ac:dyDescent="0.3">
      <c r="A33" s="25">
        <v>32</v>
      </c>
      <c r="B33" s="26" t="s">
        <v>810</v>
      </c>
      <c r="C33" s="26" t="s">
        <v>92</v>
      </c>
      <c r="D33" s="26" t="s">
        <v>812</v>
      </c>
      <c r="E33" s="26">
        <v>102</v>
      </c>
      <c r="F33" s="26">
        <v>62</v>
      </c>
      <c r="G33" s="26">
        <v>51</v>
      </c>
      <c r="H33" s="26">
        <v>51</v>
      </c>
      <c r="I33" s="28"/>
      <c r="J33" s="26">
        <f>ROUNDUP(Tabla95[[#This Row],[PRESELECCIÓN]]*9%,0)</f>
        <v>10</v>
      </c>
      <c r="K33" s="26">
        <f>Tabla95[[#This Row],[PRESELECCIÓN]]+Tabla95[[#This Row],[RESERVA (9%]]</f>
        <v>112</v>
      </c>
      <c r="L33" s="33">
        <f>ROUNDUP(Tabla95[[#This Row],[TOTAL (TITULARES + RESERVAS)]]*60%,0)</f>
        <v>68</v>
      </c>
      <c r="M33" s="33">
        <f>Tabla95[[#This Row],[TOTAL (TITULARES + RESERVAS)]]-Tabla95[[#This Row],[TURNO 1]]</f>
        <v>44</v>
      </c>
    </row>
    <row r="34" spans="1:13" x14ac:dyDescent="0.3">
      <c r="A34" s="25">
        <v>33</v>
      </c>
      <c r="B34" s="26" t="s">
        <v>810</v>
      </c>
      <c r="C34" s="26" t="s">
        <v>79</v>
      </c>
      <c r="D34" s="26" t="s">
        <v>809</v>
      </c>
      <c r="E34" s="26">
        <v>66</v>
      </c>
      <c r="F34" s="26">
        <v>41</v>
      </c>
      <c r="G34" s="26">
        <v>33</v>
      </c>
      <c r="H34" s="26">
        <v>33</v>
      </c>
      <c r="I34" s="28"/>
      <c r="J34" s="26">
        <f>ROUNDUP(Tabla95[[#This Row],[PRESELECCIÓN]]*9%,0)</f>
        <v>6</v>
      </c>
      <c r="K34" s="26">
        <f>Tabla95[[#This Row],[PRESELECCIÓN]]+Tabla95[[#This Row],[RESERVA (9%]]</f>
        <v>72</v>
      </c>
      <c r="L34" s="33">
        <f>ROUNDUP(Tabla95[[#This Row],[TOTAL (TITULARES + RESERVAS)]]*60%,0)</f>
        <v>44</v>
      </c>
      <c r="M34" s="33">
        <f>Tabla95[[#This Row],[TOTAL (TITULARES + RESERVAS)]]-Tabla95[[#This Row],[TURNO 1]]</f>
        <v>28</v>
      </c>
    </row>
    <row r="35" spans="1:13" x14ac:dyDescent="0.3">
      <c r="A35" s="25">
        <v>34</v>
      </c>
      <c r="B35" s="26" t="s">
        <v>793</v>
      </c>
      <c r="C35" s="26" t="s">
        <v>94</v>
      </c>
      <c r="D35" s="26" t="s">
        <v>94</v>
      </c>
      <c r="E35" s="26">
        <v>306</v>
      </c>
      <c r="F35" s="26">
        <v>184</v>
      </c>
      <c r="G35" s="26">
        <v>153</v>
      </c>
      <c r="H35" s="26">
        <v>152</v>
      </c>
      <c r="I35" s="27">
        <v>1</v>
      </c>
      <c r="J35" s="26">
        <f>ROUNDUP(Tabla95[[#This Row],[PRESELECCIÓN]]*9%,0)</f>
        <v>28</v>
      </c>
      <c r="K35" s="26">
        <f>Tabla95[[#This Row],[PRESELECCIÓN]]+Tabla95[[#This Row],[RESERVA (9%]]</f>
        <v>334</v>
      </c>
      <c r="L35" s="33">
        <f>ROUNDUP(Tabla95[[#This Row],[TOTAL (TITULARES + RESERVAS)]]*60%,0)</f>
        <v>201</v>
      </c>
      <c r="M35" s="33">
        <f>Tabla95[[#This Row],[TOTAL (TITULARES + RESERVAS)]]-Tabla95[[#This Row],[TURNO 1]]</f>
        <v>133</v>
      </c>
    </row>
    <row r="36" spans="1:13" x14ac:dyDescent="0.3">
      <c r="A36" s="25">
        <v>35</v>
      </c>
      <c r="B36" s="26" t="s">
        <v>793</v>
      </c>
      <c r="C36" s="26" t="s">
        <v>95</v>
      </c>
      <c r="D36" s="26" t="s">
        <v>95</v>
      </c>
      <c r="E36" s="26">
        <v>228</v>
      </c>
      <c r="F36" s="26">
        <v>138</v>
      </c>
      <c r="G36" s="26">
        <v>114</v>
      </c>
      <c r="H36" s="26">
        <v>112</v>
      </c>
      <c r="I36" s="27">
        <v>2</v>
      </c>
      <c r="J36" s="26">
        <f>ROUNDUP(Tabla95[[#This Row],[PRESELECCIÓN]]*9%,0)</f>
        <v>21</v>
      </c>
      <c r="K36" s="26">
        <f>Tabla95[[#This Row],[PRESELECCIÓN]]+Tabla95[[#This Row],[RESERVA (9%]]</f>
        <v>249</v>
      </c>
      <c r="L36" s="33">
        <f>ROUNDUP(Tabla95[[#This Row],[TOTAL (TITULARES + RESERVAS)]]*60%,0)</f>
        <v>150</v>
      </c>
      <c r="M36" s="33">
        <f>Tabla95[[#This Row],[TOTAL (TITULARES + RESERVAS)]]-Tabla95[[#This Row],[TURNO 1]]</f>
        <v>99</v>
      </c>
    </row>
    <row r="37" spans="1:13" x14ac:dyDescent="0.3">
      <c r="A37" s="25">
        <v>36</v>
      </c>
      <c r="B37" s="26" t="s">
        <v>793</v>
      </c>
      <c r="C37" s="26" t="s">
        <v>96</v>
      </c>
      <c r="D37" s="26" t="s">
        <v>804</v>
      </c>
      <c r="E37" s="26">
        <v>134</v>
      </c>
      <c r="F37" s="26">
        <v>81</v>
      </c>
      <c r="G37" s="26">
        <v>67</v>
      </c>
      <c r="H37" s="26">
        <v>67</v>
      </c>
      <c r="I37" s="28"/>
      <c r="J37" s="26">
        <f>ROUNDUP(Tabla95[[#This Row],[PRESELECCIÓN]]*9%,0)</f>
        <v>13</v>
      </c>
      <c r="K37" s="26">
        <f>Tabla95[[#This Row],[PRESELECCIÓN]]+Tabla95[[#This Row],[RESERVA (9%]]</f>
        <v>147</v>
      </c>
      <c r="L37" s="33">
        <f>ROUNDUP(Tabla95[[#This Row],[TOTAL (TITULARES + RESERVAS)]]*60%,0)</f>
        <v>89</v>
      </c>
      <c r="M37" s="33">
        <f>Tabla95[[#This Row],[TOTAL (TITULARES + RESERVAS)]]-Tabla95[[#This Row],[TURNO 1]]</f>
        <v>58</v>
      </c>
    </row>
    <row r="38" spans="1:13" ht="18" x14ac:dyDescent="0.3">
      <c r="A38" s="25">
        <v>37</v>
      </c>
      <c r="B38" s="26" t="s">
        <v>793</v>
      </c>
      <c r="C38" s="26" t="s">
        <v>97</v>
      </c>
      <c r="D38" s="26" t="s">
        <v>802</v>
      </c>
      <c r="E38" s="26">
        <v>158</v>
      </c>
      <c r="F38" s="26">
        <v>95</v>
      </c>
      <c r="G38" s="26">
        <v>79</v>
      </c>
      <c r="H38" s="26">
        <v>79</v>
      </c>
      <c r="I38" s="28"/>
      <c r="J38" s="26">
        <f>ROUNDUP(Tabla95[[#This Row],[PRESELECCIÓN]]*9%,0)</f>
        <v>15</v>
      </c>
      <c r="K38" s="26">
        <f>Tabla95[[#This Row],[PRESELECCIÓN]]+Tabla95[[#This Row],[RESERVA (9%]]</f>
        <v>173</v>
      </c>
      <c r="L38" s="33">
        <f>ROUNDUP(Tabla95[[#This Row],[TOTAL (TITULARES + RESERVAS)]]*60%,0)</f>
        <v>104</v>
      </c>
      <c r="M38" s="33">
        <f>Tabla95[[#This Row],[TOTAL (TITULARES + RESERVAS)]]-Tabla95[[#This Row],[TURNO 1]]</f>
        <v>69</v>
      </c>
    </row>
    <row r="39" spans="1:13" x14ac:dyDescent="0.3">
      <c r="A39" s="25">
        <v>38</v>
      </c>
      <c r="B39" s="26" t="s">
        <v>793</v>
      </c>
      <c r="C39" s="26" t="s">
        <v>99</v>
      </c>
      <c r="D39" s="26" t="s">
        <v>800</v>
      </c>
      <c r="E39" s="26">
        <v>66</v>
      </c>
      <c r="F39" s="26">
        <v>41</v>
      </c>
      <c r="G39" s="26">
        <v>33</v>
      </c>
      <c r="H39" s="26">
        <v>33</v>
      </c>
      <c r="I39" s="28"/>
      <c r="J39" s="26">
        <f>ROUNDUP(Tabla95[[#This Row],[PRESELECCIÓN]]*9%,0)</f>
        <v>6</v>
      </c>
      <c r="K39" s="26">
        <f>Tabla95[[#This Row],[PRESELECCIÓN]]+Tabla95[[#This Row],[RESERVA (9%]]</f>
        <v>72</v>
      </c>
      <c r="L39" s="33">
        <f>ROUNDUP(Tabla95[[#This Row],[TOTAL (TITULARES + RESERVAS)]]*60%,0)</f>
        <v>44</v>
      </c>
      <c r="M39" s="33">
        <f>Tabla95[[#This Row],[TOTAL (TITULARES + RESERVAS)]]-Tabla95[[#This Row],[TURNO 1]]</f>
        <v>28</v>
      </c>
    </row>
    <row r="40" spans="1:13" ht="18" x14ac:dyDescent="0.3">
      <c r="A40" s="25">
        <v>39</v>
      </c>
      <c r="B40" s="26" t="s">
        <v>793</v>
      </c>
      <c r="C40" s="26" t="s">
        <v>100</v>
      </c>
      <c r="D40" s="26" t="s">
        <v>888</v>
      </c>
      <c r="E40" s="26">
        <v>402</v>
      </c>
      <c r="F40" s="26">
        <v>244</v>
      </c>
      <c r="G40" s="26">
        <v>201</v>
      </c>
      <c r="H40" s="26">
        <v>195</v>
      </c>
      <c r="I40" s="27">
        <v>6</v>
      </c>
      <c r="J40" s="26">
        <f>ROUNDUP(Tabla95[[#This Row],[PRESELECCIÓN]]*9%,0)</f>
        <v>37</v>
      </c>
      <c r="K40" s="26">
        <f>Tabla95[[#This Row],[PRESELECCIÓN]]+Tabla95[[#This Row],[RESERVA (9%]]</f>
        <v>439</v>
      </c>
      <c r="L40" s="33">
        <f>ROUNDUP(Tabla95[[#This Row],[TOTAL (TITULARES + RESERVAS)]]*60%,0)</f>
        <v>264</v>
      </c>
      <c r="M40" s="33">
        <f>Tabla95[[#This Row],[TOTAL (TITULARES + RESERVAS)]]-Tabla95[[#This Row],[TURNO 1]]</f>
        <v>175</v>
      </c>
    </row>
    <row r="41" spans="1:13" x14ac:dyDescent="0.3">
      <c r="A41" s="25">
        <v>40</v>
      </c>
      <c r="B41" s="26" t="s">
        <v>793</v>
      </c>
      <c r="C41" s="26" t="s">
        <v>101</v>
      </c>
      <c r="D41" s="26" t="s">
        <v>888</v>
      </c>
      <c r="E41" s="26">
        <v>328</v>
      </c>
      <c r="F41" s="26">
        <v>198</v>
      </c>
      <c r="G41" s="26">
        <v>164</v>
      </c>
      <c r="H41" s="26">
        <v>163</v>
      </c>
      <c r="I41" s="27">
        <v>1</v>
      </c>
      <c r="J41" s="26">
        <f>ROUNDUP(Tabla95[[#This Row],[PRESELECCIÓN]]*9%,0)</f>
        <v>30</v>
      </c>
      <c r="K41" s="26">
        <f>Tabla95[[#This Row],[PRESELECCIÓN]]+Tabla95[[#This Row],[RESERVA (9%]]</f>
        <v>358</v>
      </c>
      <c r="L41" s="33">
        <f>ROUNDUP(Tabla95[[#This Row],[TOTAL (TITULARES + RESERVAS)]]*60%,0)</f>
        <v>215</v>
      </c>
      <c r="M41" s="33">
        <f>Tabla95[[#This Row],[TOTAL (TITULARES + RESERVAS)]]-Tabla95[[#This Row],[TURNO 1]]</f>
        <v>143</v>
      </c>
    </row>
    <row r="42" spans="1:13" x14ac:dyDescent="0.3">
      <c r="A42" s="25">
        <v>41</v>
      </c>
      <c r="B42" s="26" t="s">
        <v>793</v>
      </c>
      <c r="C42" s="26" t="s">
        <v>103</v>
      </c>
      <c r="D42" s="26" t="s">
        <v>889</v>
      </c>
      <c r="E42" s="26">
        <v>122</v>
      </c>
      <c r="F42" s="26">
        <v>75</v>
      </c>
      <c r="G42" s="26">
        <v>61</v>
      </c>
      <c r="H42" s="26">
        <v>61</v>
      </c>
      <c r="I42" s="28"/>
      <c r="J42" s="26">
        <f>ROUNDUP(Tabla95[[#This Row],[PRESELECCIÓN]]*9%,0)</f>
        <v>11</v>
      </c>
      <c r="K42" s="26">
        <f>Tabla95[[#This Row],[PRESELECCIÓN]]+Tabla95[[#This Row],[RESERVA (9%]]</f>
        <v>133</v>
      </c>
      <c r="L42" s="33">
        <f>ROUNDUP(Tabla95[[#This Row],[TOTAL (TITULARES + RESERVAS)]]*60%,0)</f>
        <v>80</v>
      </c>
      <c r="M42" s="33">
        <f>Tabla95[[#This Row],[TOTAL (TITULARES + RESERVAS)]]-Tabla95[[#This Row],[TURNO 1]]</f>
        <v>53</v>
      </c>
    </row>
    <row r="43" spans="1:13" x14ac:dyDescent="0.3">
      <c r="A43" s="25">
        <v>42</v>
      </c>
      <c r="B43" s="26" t="s">
        <v>793</v>
      </c>
      <c r="C43" s="26" t="s">
        <v>104</v>
      </c>
      <c r="D43" s="26" t="s">
        <v>792</v>
      </c>
      <c r="E43" s="26">
        <v>164</v>
      </c>
      <c r="F43" s="26">
        <v>101</v>
      </c>
      <c r="G43" s="26">
        <v>82</v>
      </c>
      <c r="H43" s="26">
        <v>82</v>
      </c>
      <c r="I43" s="28"/>
      <c r="J43" s="26">
        <f>ROUNDUP(Tabla95[[#This Row],[PRESELECCIÓN]]*9%,0)</f>
        <v>15</v>
      </c>
      <c r="K43" s="26">
        <f>Tabla95[[#This Row],[PRESELECCIÓN]]+Tabla95[[#This Row],[RESERVA (9%]]</f>
        <v>179</v>
      </c>
      <c r="L43" s="33">
        <f>ROUNDUP(Tabla95[[#This Row],[TOTAL (TITULARES + RESERVAS)]]*60%,0)</f>
        <v>108</v>
      </c>
      <c r="M43" s="33">
        <f>Tabla95[[#This Row],[TOTAL (TITULARES + RESERVAS)]]-Tabla95[[#This Row],[TURNO 1]]</f>
        <v>71</v>
      </c>
    </row>
    <row r="44" spans="1:13" x14ac:dyDescent="0.3">
      <c r="A44" s="25">
        <v>43</v>
      </c>
      <c r="B44" s="26" t="s">
        <v>783</v>
      </c>
      <c r="C44" s="26" t="s">
        <v>105</v>
      </c>
      <c r="D44" s="26" t="s">
        <v>105</v>
      </c>
      <c r="E44" s="26">
        <v>242</v>
      </c>
      <c r="F44" s="26">
        <v>149</v>
      </c>
      <c r="G44" s="26">
        <v>121</v>
      </c>
      <c r="H44" s="26">
        <v>119</v>
      </c>
      <c r="I44" s="27">
        <v>2</v>
      </c>
      <c r="J44" s="26">
        <f>ROUNDUP(Tabla95[[#This Row],[PRESELECCIÓN]]*9%,0)</f>
        <v>22</v>
      </c>
      <c r="K44" s="26">
        <f>Tabla95[[#This Row],[PRESELECCIÓN]]+Tabla95[[#This Row],[RESERVA (9%]]</f>
        <v>264</v>
      </c>
      <c r="L44" s="33">
        <f>ROUNDUP(Tabla95[[#This Row],[TOTAL (TITULARES + RESERVAS)]]*60%,0)</f>
        <v>159</v>
      </c>
      <c r="M44" s="33">
        <f>Tabla95[[#This Row],[TOTAL (TITULARES + RESERVAS)]]-Tabla95[[#This Row],[TURNO 1]]</f>
        <v>105</v>
      </c>
    </row>
    <row r="45" spans="1:13" x14ac:dyDescent="0.3">
      <c r="A45" s="25">
        <v>44</v>
      </c>
      <c r="B45" s="26" t="s">
        <v>783</v>
      </c>
      <c r="C45" s="26" t="s">
        <v>106</v>
      </c>
      <c r="D45" s="26" t="s">
        <v>106</v>
      </c>
      <c r="E45" s="26">
        <v>186</v>
      </c>
      <c r="F45" s="26">
        <v>115</v>
      </c>
      <c r="G45" s="26">
        <v>93</v>
      </c>
      <c r="H45" s="26">
        <v>93</v>
      </c>
      <c r="I45" s="28"/>
      <c r="J45" s="26">
        <f>ROUNDUP(Tabla95[[#This Row],[PRESELECCIÓN]]*9%,0)</f>
        <v>17</v>
      </c>
      <c r="K45" s="26">
        <f>Tabla95[[#This Row],[PRESELECCIÓN]]+Tabla95[[#This Row],[RESERVA (9%]]</f>
        <v>203</v>
      </c>
      <c r="L45" s="33">
        <f>ROUNDUP(Tabla95[[#This Row],[TOTAL (TITULARES + RESERVAS)]]*60%,0)</f>
        <v>122</v>
      </c>
      <c r="M45" s="33">
        <f>Tabla95[[#This Row],[TOTAL (TITULARES + RESERVAS)]]-Tabla95[[#This Row],[TURNO 1]]</f>
        <v>81</v>
      </c>
    </row>
    <row r="46" spans="1:13" x14ac:dyDescent="0.3">
      <c r="A46" s="25">
        <v>45</v>
      </c>
      <c r="B46" s="26" t="s">
        <v>783</v>
      </c>
      <c r="C46" s="26" t="s">
        <v>108</v>
      </c>
      <c r="D46" s="26" t="s">
        <v>108</v>
      </c>
      <c r="E46" s="26">
        <v>122</v>
      </c>
      <c r="F46" s="26">
        <v>75</v>
      </c>
      <c r="G46" s="26">
        <v>61</v>
      </c>
      <c r="H46" s="26">
        <v>61</v>
      </c>
      <c r="I46" s="28"/>
      <c r="J46" s="26">
        <f>ROUNDUP(Tabla95[[#This Row],[PRESELECCIÓN]]*9%,0)</f>
        <v>11</v>
      </c>
      <c r="K46" s="26">
        <f>Tabla95[[#This Row],[PRESELECCIÓN]]+Tabla95[[#This Row],[RESERVA (9%]]</f>
        <v>133</v>
      </c>
      <c r="L46" s="33">
        <f>ROUNDUP(Tabla95[[#This Row],[TOTAL (TITULARES + RESERVAS)]]*60%,0)</f>
        <v>80</v>
      </c>
      <c r="M46" s="33">
        <f>Tabla95[[#This Row],[TOTAL (TITULARES + RESERVAS)]]-Tabla95[[#This Row],[TURNO 1]]</f>
        <v>53</v>
      </c>
    </row>
    <row r="47" spans="1:13" x14ac:dyDescent="0.3">
      <c r="A47" s="25">
        <v>46</v>
      </c>
      <c r="B47" s="26" t="s">
        <v>783</v>
      </c>
      <c r="C47" s="26" t="s">
        <v>109</v>
      </c>
      <c r="D47" s="26" t="s">
        <v>109</v>
      </c>
      <c r="E47" s="26">
        <v>258</v>
      </c>
      <c r="F47" s="26">
        <v>157</v>
      </c>
      <c r="G47" s="26">
        <v>129</v>
      </c>
      <c r="H47" s="26">
        <v>127</v>
      </c>
      <c r="I47" s="27">
        <v>2</v>
      </c>
      <c r="J47" s="26">
        <f>ROUNDUP(Tabla95[[#This Row],[PRESELECCIÓN]]*9%,0)</f>
        <v>24</v>
      </c>
      <c r="K47" s="26">
        <f>Tabla95[[#This Row],[PRESELECCIÓN]]+Tabla95[[#This Row],[RESERVA (9%]]</f>
        <v>282</v>
      </c>
      <c r="L47" s="33">
        <f>ROUNDUP(Tabla95[[#This Row],[TOTAL (TITULARES + RESERVAS)]]*60%,0)</f>
        <v>170</v>
      </c>
      <c r="M47" s="33">
        <f>Tabla95[[#This Row],[TOTAL (TITULARES + RESERVAS)]]-Tabla95[[#This Row],[TURNO 1]]</f>
        <v>112</v>
      </c>
    </row>
    <row r="48" spans="1:13" ht="18" x14ac:dyDescent="0.3">
      <c r="A48" s="25">
        <v>47</v>
      </c>
      <c r="B48" s="26" t="s">
        <v>783</v>
      </c>
      <c r="C48" s="26" t="s">
        <v>112</v>
      </c>
      <c r="D48" s="26" t="s">
        <v>786</v>
      </c>
      <c r="E48" s="26">
        <v>310</v>
      </c>
      <c r="F48" s="26">
        <v>190</v>
      </c>
      <c r="G48" s="26">
        <v>155</v>
      </c>
      <c r="H48" s="26">
        <v>153</v>
      </c>
      <c r="I48" s="27">
        <v>2</v>
      </c>
      <c r="J48" s="26">
        <f>ROUNDUP(Tabla95[[#This Row],[PRESELECCIÓN]]*9%,0)</f>
        <v>28</v>
      </c>
      <c r="K48" s="26">
        <f>Tabla95[[#This Row],[PRESELECCIÓN]]+Tabla95[[#This Row],[RESERVA (9%]]</f>
        <v>338</v>
      </c>
      <c r="L48" s="33">
        <f>ROUNDUP(Tabla95[[#This Row],[TOTAL (TITULARES + RESERVAS)]]*60%,0)</f>
        <v>203</v>
      </c>
      <c r="M48" s="33">
        <f>Tabla95[[#This Row],[TOTAL (TITULARES + RESERVAS)]]-Tabla95[[#This Row],[TURNO 1]]</f>
        <v>135</v>
      </c>
    </row>
    <row r="49" spans="1:13" x14ac:dyDescent="0.3">
      <c r="A49" s="25">
        <v>48</v>
      </c>
      <c r="B49" s="26" t="s">
        <v>783</v>
      </c>
      <c r="C49" s="26" t="s">
        <v>113</v>
      </c>
      <c r="D49" s="26" t="s">
        <v>113</v>
      </c>
      <c r="E49" s="26">
        <v>338</v>
      </c>
      <c r="F49" s="26">
        <v>208</v>
      </c>
      <c r="G49" s="26">
        <v>169</v>
      </c>
      <c r="H49" s="26">
        <v>164</v>
      </c>
      <c r="I49" s="27">
        <v>5</v>
      </c>
      <c r="J49" s="26">
        <f>ROUNDUP(Tabla95[[#This Row],[PRESELECCIÓN]]*9%,0)</f>
        <v>31</v>
      </c>
      <c r="K49" s="26">
        <f>Tabla95[[#This Row],[PRESELECCIÓN]]+Tabla95[[#This Row],[RESERVA (9%]]</f>
        <v>369</v>
      </c>
      <c r="L49" s="33">
        <f>ROUNDUP(Tabla95[[#This Row],[TOTAL (TITULARES + RESERVAS)]]*60%,0)</f>
        <v>222</v>
      </c>
      <c r="M49" s="33">
        <f>Tabla95[[#This Row],[TOTAL (TITULARES + RESERVAS)]]-Tabla95[[#This Row],[TURNO 1]]</f>
        <v>147</v>
      </c>
    </row>
    <row r="50" spans="1:13" ht="18" x14ac:dyDescent="0.3">
      <c r="A50" s="25">
        <v>49</v>
      </c>
      <c r="B50" s="26" t="s">
        <v>783</v>
      </c>
      <c r="C50" s="26" t="s">
        <v>114</v>
      </c>
      <c r="D50" s="26" t="s">
        <v>890</v>
      </c>
      <c r="E50" s="26">
        <v>292</v>
      </c>
      <c r="F50" s="26">
        <v>178</v>
      </c>
      <c r="G50" s="26">
        <v>146</v>
      </c>
      <c r="H50" s="26">
        <v>143</v>
      </c>
      <c r="I50" s="27">
        <v>3</v>
      </c>
      <c r="J50" s="26">
        <f>ROUNDUP(Tabla95[[#This Row],[PRESELECCIÓN]]*9%,0)</f>
        <v>27</v>
      </c>
      <c r="K50" s="26">
        <f>Tabla95[[#This Row],[PRESELECCIÓN]]+Tabla95[[#This Row],[RESERVA (9%]]</f>
        <v>319</v>
      </c>
      <c r="L50" s="33">
        <f>ROUNDUP(Tabla95[[#This Row],[TOTAL (TITULARES + RESERVAS)]]*60%,0)</f>
        <v>192</v>
      </c>
      <c r="M50" s="33">
        <f>Tabla95[[#This Row],[TOTAL (TITULARES + RESERVAS)]]-Tabla95[[#This Row],[TURNO 1]]</f>
        <v>127</v>
      </c>
    </row>
    <row r="51" spans="1:13" ht="18" x14ac:dyDescent="0.3">
      <c r="A51" s="25">
        <v>50</v>
      </c>
      <c r="B51" s="26" t="s">
        <v>691</v>
      </c>
      <c r="C51" s="26" t="s">
        <v>116</v>
      </c>
      <c r="D51" s="26" t="s">
        <v>780</v>
      </c>
      <c r="E51" s="26">
        <v>82</v>
      </c>
      <c r="F51" s="26">
        <v>51</v>
      </c>
      <c r="G51" s="26">
        <v>41</v>
      </c>
      <c r="H51" s="26">
        <v>41</v>
      </c>
      <c r="I51" s="28"/>
      <c r="J51" s="26">
        <f>ROUNDUP(Tabla95[[#This Row],[PRESELECCIÓN]]*9%,0)</f>
        <v>8</v>
      </c>
      <c r="K51" s="26">
        <f>Tabla95[[#This Row],[PRESELECCIÓN]]+Tabla95[[#This Row],[RESERVA (9%]]</f>
        <v>90</v>
      </c>
      <c r="L51" s="33">
        <f>ROUNDUP(Tabla95[[#This Row],[TOTAL (TITULARES + RESERVAS)]]*60%,0)</f>
        <v>54</v>
      </c>
      <c r="M51" s="33">
        <f>Tabla95[[#This Row],[TOTAL (TITULARES + RESERVAS)]]-Tabla95[[#This Row],[TURNO 1]]</f>
        <v>36</v>
      </c>
    </row>
    <row r="52" spans="1:13" x14ac:dyDescent="0.3">
      <c r="A52" s="25">
        <v>51</v>
      </c>
      <c r="B52" s="26" t="s">
        <v>691</v>
      </c>
      <c r="C52" s="26" t="s">
        <v>117</v>
      </c>
      <c r="D52" s="26" t="s">
        <v>691</v>
      </c>
      <c r="E52" s="26">
        <v>548</v>
      </c>
      <c r="F52" s="26">
        <v>329</v>
      </c>
      <c r="G52" s="26">
        <v>274</v>
      </c>
      <c r="H52" s="26">
        <v>264</v>
      </c>
      <c r="I52" s="27">
        <v>10</v>
      </c>
      <c r="J52" s="26">
        <f>ROUNDUP(Tabla95[[#This Row],[PRESELECCIÓN]]*9%,0)</f>
        <v>50</v>
      </c>
      <c r="K52" s="26">
        <f>Tabla95[[#This Row],[PRESELECCIÓN]]+Tabla95[[#This Row],[RESERVA (9%]]</f>
        <v>598</v>
      </c>
      <c r="L52" s="33">
        <f>ROUNDUP(Tabla95[[#This Row],[TOTAL (TITULARES + RESERVAS)]]*60%,0)</f>
        <v>359</v>
      </c>
      <c r="M52" s="33">
        <f>Tabla95[[#This Row],[TOTAL (TITULARES + RESERVAS)]]-Tabla95[[#This Row],[TURNO 1]]</f>
        <v>239</v>
      </c>
    </row>
    <row r="53" spans="1:13" ht="18" x14ac:dyDescent="0.3">
      <c r="A53" s="25">
        <v>52</v>
      </c>
      <c r="B53" s="26" t="s">
        <v>691</v>
      </c>
      <c r="C53" s="26" t="s">
        <v>120</v>
      </c>
      <c r="D53" s="26" t="s">
        <v>691</v>
      </c>
      <c r="E53" s="26">
        <v>294</v>
      </c>
      <c r="F53" s="26">
        <v>180</v>
      </c>
      <c r="G53" s="26">
        <v>147</v>
      </c>
      <c r="H53" s="26">
        <v>143</v>
      </c>
      <c r="I53" s="27">
        <v>4</v>
      </c>
      <c r="J53" s="26">
        <f>ROUNDUP(Tabla95[[#This Row],[PRESELECCIÓN]]*9%,0)</f>
        <v>27</v>
      </c>
      <c r="K53" s="26">
        <f>Tabla95[[#This Row],[PRESELECCIÓN]]+Tabla95[[#This Row],[RESERVA (9%]]</f>
        <v>321</v>
      </c>
      <c r="L53" s="33">
        <f>ROUNDUP(Tabla95[[#This Row],[TOTAL (TITULARES + RESERVAS)]]*60%,0)</f>
        <v>193</v>
      </c>
      <c r="M53" s="33">
        <f>Tabla95[[#This Row],[TOTAL (TITULARES + RESERVAS)]]-Tabla95[[#This Row],[TURNO 1]]</f>
        <v>128</v>
      </c>
    </row>
    <row r="54" spans="1:13" x14ac:dyDescent="0.3">
      <c r="A54" s="25">
        <v>53</v>
      </c>
      <c r="B54" s="26" t="s">
        <v>691</v>
      </c>
      <c r="C54" s="26" t="s">
        <v>121</v>
      </c>
      <c r="D54" s="26" t="s">
        <v>121</v>
      </c>
      <c r="E54" s="26">
        <v>344</v>
      </c>
      <c r="F54" s="26">
        <v>208</v>
      </c>
      <c r="G54" s="26">
        <v>172</v>
      </c>
      <c r="H54" s="26">
        <v>171</v>
      </c>
      <c r="I54" s="27">
        <v>1</v>
      </c>
      <c r="J54" s="26">
        <f>ROUNDUP(Tabla95[[#This Row],[PRESELECCIÓN]]*9%,0)</f>
        <v>31</v>
      </c>
      <c r="K54" s="26">
        <f>Tabla95[[#This Row],[PRESELECCIÓN]]+Tabla95[[#This Row],[RESERVA (9%]]</f>
        <v>375</v>
      </c>
      <c r="L54" s="33">
        <f>ROUNDUP(Tabla95[[#This Row],[TOTAL (TITULARES + RESERVAS)]]*60%,0)</f>
        <v>225</v>
      </c>
      <c r="M54" s="33">
        <f>Tabla95[[#This Row],[TOTAL (TITULARES + RESERVAS)]]-Tabla95[[#This Row],[TURNO 1]]</f>
        <v>150</v>
      </c>
    </row>
    <row r="55" spans="1:13" x14ac:dyDescent="0.3">
      <c r="A55" s="25">
        <v>54</v>
      </c>
      <c r="B55" s="26" t="s">
        <v>691</v>
      </c>
      <c r="C55" s="26" t="s">
        <v>122</v>
      </c>
      <c r="D55" s="26" t="s">
        <v>774</v>
      </c>
      <c r="E55" s="26">
        <v>172</v>
      </c>
      <c r="F55" s="26">
        <v>105</v>
      </c>
      <c r="G55" s="26">
        <v>86</v>
      </c>
      <c r="H55" s="26">
        <v>85</v>
      </c>
      <c r="I55" s="27">
        <v>1</v>
      </c>
      <c r="J55" s="26">
        <f>ROUNDUP(Tabla95[[#This Row],[PRESELECCIÓN]]*9%,0)</f>
        <v>16</v>
      </c>
      <c r="K55" s="26">
        <f>Tabla95[[#This Row],[PRESELECCIÓN]]+Tabla95[[#This Row],[RESERVA (9%]]</f>
        <v>188</v>
      </c>
      <c r="L55" s="33">
        <f>ROUNDUP(Tabla95[[#This Row],[TOTAL (TITULARES + RESERVAS)]]*60%,0)</f>
        <v>113</v>
      </c>
      <c r="M55" s="33">
        <f>Tabla95[[#This Row],[TOTAL (TITULARES + RESERVAS)]]-Tabla95[[#This Row],[TURNO 1]]</f>
        <v>75</v>
      </c>
    </row>
    <row r="56" spans="1:13" x14ac:dyDescent="0.3">
      <c r="A56" s="25">
        <v>55</v>
      </c>
      <c r="B56" s="26" t="s">
        <v>691</v>
      </c>
      <c r="C56" s="26" t="s">
        <v>124</v>
      </c>
      <c r="D56" s="26" t="s">
        <v>98</v>
      </c>
      <c r="E56" s="26">
        <v>204</v>
      </c>
      <c r="F56" s="26">
        <v>124</v>
      </c>
      <c r="G56" s="26">
        <v>102</v>
      </c>
      <c r="H56" s="26">
        <v>101</v>
      </c>
      <c r="I56" s="27">
        <v>1</v>
      </c>
      <c r="J56" s="26">
        <f>ROUNDUP(Tabla95[[#This Row],[PRESELECCIÓN]]*9%,0)</f>
        <v>19</v>
      </c>
      <c r="K56" s="26">
        <f>Tabla95[[#This Row],[PRESELECCIÓN]]+Tabla95[[#This Row],[RESERVA (9%]]</f>
        <v>223</v>
      </c>
      <c r="L56" s="33">
        <f>ROUNDUP(Tabla95[[#This Row],[TOTAL (TITULARES + RESERVAS)]]*60%,0)</f>
        <v>134</v>
      </c>
      <c r="M56" s="33">
        <f>Tabla95[[#This Row],[TOTAL (TITULARES + RESERVAS)]]-Tabla95[[#This Row],[TURNO 1]]</f>
        <v>89</v>
      </c>
    </row>
    <row r="57" spans="1:13" x14ac:dyDescent="0.3">
      <c r="A57" s="25">
        <v>56</v>
      </c>
      <c r="B57" s="26" t="s">
        <v>691</v>
      </c>
      <c r="C57" s="26" t="s">
        <v>125</v>
      </c>
      <c r="D57" s="26" t="s">
        <v>769</v>
      </c>
      <c r="E57" s="26">
        <v>108</v>
      </c>
      <c r="F57" s="26">
        <v>66</v>
      </c>
      <c r="G57" s="26">
        <v>54</v>
      </c>
      <c r="H57" s="26">
        <v>54</v>
      </c>
      <c r="I57" s="28"/>
      <c r="J57" s="26">
        <f>ROUNDUP(Tabla95[[#This Row],[PRESELECCIÓN]]*9%,0)</f>
        <v>10</v>
      </c>
      <c r="K57" s="26">
        <f>Tabla95[[#This Row],[PRESELECCIÓN]]+Tabla95[[#This Row],[RESERVA (9%]]</f>
        <v>118</v>
      </c>
      <c r="L57" s="33">
        <f>ROUNDUP(Tabla95[[#This Row],[TOTAL (TITULARES + RESERVAS)]]*60%,0)</f>
        <v>71</v>
      </c>
      <c r="M57" s="33">
        <f>Tabla95[[#This Row],[TOTAL (TITULARES + RESERVAS)]]-Tabla95[[#This Row],[TURNO 1]]</f>
        <v>47</v>
      </c>
    </row>
    <row r="58" spans="1:13" x14ac:dyDescent="0.3">
      <c r="A58" s="25">
        <v>57</v>
      </c>
      <c r="B58" s="26" t="s">
        <v>752</v>
      </c>
      <c r="C58" s="26" t="s">
        <v>126</v>
      </c>
      <c r="D58" s="26" t="s">
        <v>126</v>
      </c>
      <c r="E58" s="26">
        <v>100</v>
      </c>
      <c r="F58" s="26">
        <v>59</v>
      </c>
      <c r="G58" s="26">
        <v>50</v>
      </c>
      <c r="H58" s="26">
        <v>50</v>
      </c>
      <c r="I58" s="28"/>
      <c r="J58" s="26">
        <f>ROUNDUP(Tabla95[[#This Row],[PRESELECCIÓN]]*9%,0)</f>
        <v>9</v>
      </c>
      <c r="K58" s="26">
        <f>Tabla95[[#This Row],[PRESELECCIÓN]]+Tabla95[[#This Row],[RESERVA (9%]]</f>
        <v>109</v>
      </c>
      <c r="L58" s="33">
        <f>ROUNDUP(Tabla95[[#This Row],[TOTAL (TITULARES + RESERVAS)]]*60%,0)</f>
        <v>66</v>
      </c>
      <c r="M58" s="33">
        <f>Tabla95[[#This Row],[TOTAL (TITULARES + RESERVAS)]]-Tabla95[[#This Row],[TURNO 1]]</f>
        <v>43</v>
      </c>
    </row>
    <row r="59" spans="1:13" x14ac:dyDescent="0.3">
      <c r="A59" s="25">
        <v>58</v>
      </c>
      <c r="B59" s="26" t="s">
        <v>752</v>
      </c>
      <c r="C59" s="26" t="s">
        <v>127</v>
      </c>
      <c r="D59" s="26" t="s">
        <v>127</v>
      </c>
      <c r="E59" s="26">
        <v>430</v>
      </c>
      <c r="F59" s="26">
        <v>259</v>
      </c>
      <c r="G59" s="26">
        <v>215</v>
      </c>
      <c r="H59" s="26">
        <v>213</v>
      </c>
      <c r="I59" s="27">
        <v>2</v>
      </c>
      <c r="J59" s="26">
        <f>ROUNDUP(Tabla95[[#This Row],[PRESELECCIÓN]]*9%,0)</f>
        <v>39</v>
      </c>
      <c r="K59" s="26">
        <f>Tabla95[[#This Row],[PRESELECCIÓN]]+Tabla95[[#This Row],[RESERVA (9%]]</f>
        <v>469</v>
      </c>
      <c r="L59" s="33">
        <f>ROUNDUP(Tabla95[[#This Row],[TOTAL (TITULARES + RESERVAS)]]*60%,0)</f>
        <v>282</v>
      </c>
      <c r="M59" s="33">
        <f>Tabla95[[#This Row],[TOTAL (TITULARES + RESERVAS)]]-Tabla95[[#This Row],[TURNO 1]]</f>
        <v>187</v>
      </c>
    </row>
    <row r="60" spans="1:13" x14ac:dyDescent="0.3">
      <c r="A60" s="25">
        <v>59</v>
      </c>
      <c r="B60" s="26" t="s">
        <v>752</v>
      </c>
      <c r="C60" s="26" t="s">
        <v>129</v>
      </c>
      <c r="D60" s="26" t="s">
        <v>752</v>
      </c>
      <c r="E60" s="26">
        <v>378</v>
      </c>
      <c r="F60" s="26">
        <v>232</v>
      </c>
      <c r="G60" s="26">
        <v>189</v>
      </c>
      <c r="H60" s="26">
        <v>188</v>
      </c>
      <c r="I60" s="27">
        <v>1</v>
      </c>
      <c r="J60" s="26">
        <f>ROUNDUP(Tabla95[[#This Row],[PRESELECCIÓN]]*9%,0)</f>
        <v>35</v>
      </c>
      <c r="K60" s="26">
        <f>Tabla95[[#This Row],[PRESELECCIÓN]]+Tabla95[[#This Row],[RESERVA (9%]]</f>
        <v>413</v>
      </c>
      <c r="L60" s="33">
        <f>ROUNDUP(Tabla95[[#This Row],[TOTAL (TITULARES + RESERVAS)]]*60%,0)</f>
        <v>248</v>
      </c>
      <c r="M60" s="33">
        <f>Tabla95[[#This Row],[TOTAL (TITULARES + RESERVAS)]]-Tabla95[[#This Row],[TURNO 1]]</f>
        <v>165</v>
      </c>
    </row>
    <row r="61" spans="1:13" x14ac:dyDescent="0.3">
      <c r="A61" s="25">
        <v>60</v>
      </c>
      <c r="B61" s="26" t="s">
        <v>752</v>
      </c>
      <c r="C61" s="26" t="s">
        <v>130</v>
      </c>
      <c r="D61" s="26" t="s">
        <v>752</v>
      </c>
      <c r="E61" s="26">
        <v>392</v>
      </c>
      <c r="F61" s="26">
        <v>239</v>
      </c>
      <c r="G61" s="26">
        <v>196</v>
      </c>
      <c r="H61" s="26">
        <v>194</v>
      </c>
      <c r="I61" s="27">
        <v>2</v>
      </c>
      <c r="J61" s="26">
        <f>ROUNDUP(Tabla95[[#This Row],[PRESELECCIÓN]]*9%,0)</f>
        <v>36</v>
      </c>
      <c r="K61" s="26">
        <f>Tabla95[[#This Row],[PRESELECCIÓN]]+Tabla95[[#This Row],[RESERVA (9%]]</f>
        <v>428</v>
      </c>
      <c r="L61" s="33">
        <f>ROUNDUP(Tabla95[[#This Row],[TOTAL (TITULARES + RESERVAS)]]*60%,0)</f>
        <v>257</v>
      </c>
      <c r="M61" s="33">
        <f>Tabla95[[#This Row],[TOTAL (TITULARES + RESERVAS)]]-Tabla95[[#This Row],[TURNO 1]]</f>
        <v>171</v>
      </c>
    </row>
    <row r="62" spans="1:13" x14ac:dyDescent="0.3">
      <c r="A62" s="25">
        <v>61</v>
      </c>
      <c r="B62" s="26" t="s">
        <v>752</v>
      </c>
      <c r="C62" s="26" t="s">
        <v>131</v>
      </c>
      <c r="D62" s="26" t="s">
        <v>752</v>
      </c>
      <c r="E62" s="26">
        <v>466</v>
      </c>
      <c r="F62" s="26">
        <v>280</v>
      </c>
      <c r="G62" s="26">
        <v>233</v>
      </c>
      <c r="H62" s="26">
        <v>226</v>
      </c>
      <c r="I62" s="27">
        <v>7</v>
      </c>
      <c r="J62" s="26">
        <f>ROUNDUP(Tabla95[[#This Row],[PRESELECCIÓN]]*9%,0)</f>
        <v>42</v>
      </c>
      <c r="K62" s="26">
        <f>Tabla95[[#This Row],[PRESELECCIÓN]]+Tabla95[[#This Row],[RESERVA (9%]]</f>
        <v>508</v>
      </c>
      <c r="L62" s="33">
        <f>ROUNDUP(Tabla95[[#This Row],[TOTAL (TITULARES + RESERVAS)]]*60%,0)</f>
        <v>305</v>
      </c>
      <c r="M62" s="33">
        <f>Tabla95[[#This Row],[TOTAL (TITULARES + RESERVAS)]]-Tabla95[[#This Row],[TURNO 1]]</f>
        <v>203</v>
      </c>
    </row>
    <row r="63" spans="1:13" x14ac:dyDescent="0.3">
      <c r="A63" s="25">
        <v>62</v>
      </c>
      <c r="B63" s="26" t="s">
        <v>752</v>
      </c>
      <c r="C63" s="26" t="s">
        <v>132</v>
      </c>
      <c r="D63" s="26" t="s">
        <v>132</v>
      </c>
      <c r="E63" s="26">
        <v>462</v>
      </c>
      <c r="F63" s="26">
        <v>270</v>
      </c>
      <c r="G63" s="26">
        <v>231</v>
      </c>
      <c r="H63" s="26">
        <v>230</v>
      </c>
      <c r="I63" s="27">
        <v>1</v>
      </c>
      <c r="J63" s="26">
        <f>ROUNDUP(Tabla95[[#This Row],[PRESELECCIÓN]]*9%,0)</f>
        <v>42</v>
      </c>
      <c r="K63" s="26">
        <f>Tabla95[[#This Row],[PRESELECCIÓN]]+Tabla95[[#This Row],[RESERVA (9%]]</f>
        <v>504</v>
      </c>
      <c r="L63" s="33">
        <f>ROUNDUP(Tabla95[[#This Row],[TOTAL (TITULARES + RESERVAS)]]*60%,0)</f>
        <v>303</v>
      </c>
      <c r="M63" s="33">
        <f>Tabla95[[#This Row],[TOTAL (TITULARES + RESERVAS)]]-Tabla95[[#This Row],[TURNO 1]]</f>
        <v>201</v>
      </c>
    </row>
    <row r="64" spans="1:13" x14ac:dyDescent="0.3">
      <c r="A64" s="25">
        <v>63</v>
      </c>
      <c r="B64" s="26" t="s">
        <v>752</v>
      </c>
      <c r="C64" s="26" t="s">
        <v>41</v>
      </c>
      <c r="D64" s="26" t="s">
        <v>41</v>
      </c>
      <c r="E64" s="26">
        <v>594</v>
      </c>
      <c r="F64" s="26">
        <v>355</v>
      </c>
      <c r="G64" s="26">
        <v>297</v>
      </c>
      <c r="H64" s="26">
        <v>296</v>
      </c>
      <c r="I64" s="27">
        <v>1</v>
      </c>
      <c r="J64" s="26">
        <f>ROUNDUP(Tabla95[[#This Row],[PRESELECCIÓN]]*9%,0)</f>
        <v>54</v>
      </c>
      <c r="K64" s="26">
        <f>Tabla95[[#This Row],[PRESELECCIÓN]]+Tabla95[[#This Row],[RESERVA (9%]]</f>
        <v>648</v>
      </c>
      <c r="L64" s="33">
        <f>ROUNDUP(Tabla95[[#This Row],[TOTAL (TITULARES + RESERVAS)]]*60%,0)</f>
        <v>389</v>
      </c>
      <c r="M64" s="33">
        <f>Tabla95[[#This Row],[TOTAL (TITULARES + RESERVAS)]]-Tabla95[[#This Row],[TURNO 1]]</f>
        <v>259</v>
      </c>
    </row>
    <row r="65" spans="1:13" x14ac:dyDescent="0.3">
      <c r="A65" s="25">
        <v>64</v>
      </c>
      <c r="B65" s="26" t="s">
        <v>752</v>
      </c>
      <c r="C65" s="26" t="s">
        <v>133</v>
      </c>
      <c r="D65" s="26" t="s">
        <v>133</v>
      </c>
      <c r="E65" s="26">
        <v>122</v>
      </c>
      <c r="F65" s="26">
        <v>73</v>
      </c>
      <c r="G65" s="26">
        <v>61</v>
      </c>
      <c r="H65" s="26">
        <v>61</v>
      </c>
      <c r="I65" s="28"/>
      <c r="J65" s="26">
        <f>ROUNDUP(Tabla95[[#This Row],[PRESELECCIÓN]]*9%,0)</f>
        <v>11</v>
      </c>
      <c r="K65" s="26">
        <f>Tabla95[[#This Row],[PRESELECCIÓN]]+Tabla95[[#This Row],[RESERVA (9%]]</f>
        <v>133</v>
      </c>
      <c r="L65" s="33">
        <f>ROUNDUP(Tabla95[[#This Row],[TOTAL (TITULARES + RESERVAS)]]*60%,0)</f>
        <v>80</v>
      </c>
      <c r="M65" s="33">
        <f>Tabla95[[#This Row],[TOTAL (TITULARES + RESERVAS)]]-Tabla95[[#This Row],[TURNO 1]]</f>
        <v>53</v>
      </c>
    </row>
    <row r="66" spans="1:13" x14ac:dyDescent="0.3">
      <c r="A66" s="25">
        <v>65</v>
      </c>
      <c r="B66" s="26" t="s">
        <v>752</v>
      </c>
      <c r="C66" s="26" t="s">
        <v>134</v>
      </c>
      <c r="D66" s="26" t="s">
        <v>134</v>
      </c>
      <c r="E66" s="26">
        <v>580</v>
      </c>
      <c r="F66" s="26">
        <v>343</v>
      </c>
      <c r="G66" s="26">
        <v>290</v>
      </c>
      <c r="H66" s="26">
        <v>290</v>
      </c>
      <c r="I66" s="28"/>
      <c r="J66" s="26">
        <f>ROUNDUP(Tabla95[[#This Row],[PRESELECCIÓN]]*9%,0)</f>
        <v>53</v>
      </c>
      <c r="K66" s="26">
        <f>Tabla95[[#This Row],[PRESELECCIÓN]]+Tabla95[[#This Row],[RESERVA (9%]]</f>
        <v>633</v>
      </c>
      <c r="L66" s="33">
        <f>ROUNDUP(Tabla95[[#This Row],[TOTAL (TITULARES + RESERVAS)]]*60%,0)</f>
        <v>380</v>
      </c>
      <c r="M66" s="33">
        <f>Tabla95[[#This Row],[TOTAL (TITULARES + RESERVAS)]]-Tabla95[[#This Row],[TURNO 1]]</f>
        <v>253</v>
      </c>
    </row>
    <row r="67" spans="1:13" x14ac:dyDescent="0.3">
      <c r="A67" s="25">
        <v>66</v>
      </c>
      <c r="B67" s="26" t="s">
        <v>752</v>
      </c>
      <c r="C67" s="26" t="s">
        <v>135</v>
      </c>
      <c r="D67" s="26" t="s">
        <v>758</v>
      </c>
      <c r="E67" s="26">
        <v>312</v>
      </c>
      <c r="F67" s="26">
        <v>192</v>
      </c>
      <c r="G67" s="26">
        <v>156</v>
      </c>
      <c r="H67" s="26">
        <v>155</v>
      </c>
      <c r="I67" s="27">
        <v>1</v>
      </c>
      <c r="J67" s="26">
        <f>ROUNDUP(Tabla95[[#This Row],[PRESELECCIÓN]]*9%,0)</f>
        <v>29</v>
      </c>
      <c r="K67" s="26">
        <f>Tabla95[[#This Row],[PRESELECCIÓN]]+Tabla95[[#This Row],[RESERVA (9%]]</f>
        <v>341</v>
      </c>
      <c r="L67" s="33">
        <f>ROUNDUP(Tabla95[[#This Row],[TOTAL (TITULARES + RESERVAS)]]*60%,0)</f>
        <v>205</v>
      </c>
      <c r="M67" s="33">
        <f>Tabla95[[#This Row],[TOTAL (TITULARES + RESERVAS)]]-Tabla95[[#This Row],[TURNO 1]]</f>
        <v>136</v>
      </c>
    </row>
    <row r="68" spans="1:13" x14ac:dyDescent="0.3">
      <c r="A68" s="25">
        <v>67</v>
      </c>
      <c r="B68" s="26" t="s">
        <v>752</v>
      </c>
      <c r="C68" s="26" t="s">
        <v>136</v>
      </c>
      <c r="D68" s="26" t="s">
        <v>756</v>
      </c>
      <c r="E68" s="26">
        <v>298</v>
      </c>
      <c r="F68" s="26">
        <v>174</v>
      </c>
      <c r="G68" s="26">
        <v>149</v>
      </c>
      <c r="H68" s="26">
        <v>149</v>
      </c>
      <c r="I68" s="28"/>
      <c r="J68" s="26">
        <f>ROUNDUP(Tabla95[[#This Row],[PRESELECCIÓN]]*9%,0)</f>
        <v>27</v>
      </c>
      <c r="K68" s="26">
        <f>Tabla95[[#This Row],[PRESELECCIÓN]]+Tabla95[[#This Row],[RESERVA (9%]]</f>
        <v>325</v>
      </c>
      <c r="L68" s="33">
        <f>ROUNDUP(Tabla95[[#This Row],[TOTAL (TITULARES + RESERVAS)]]*60%,0)</f>
        <v>195</v>
      </c>
      <c r="M68" s="33">
        <f>Tabla95[[#This Row],[TOTAL (TITULARES + RESERVAS)]]-Tabla95[[#This Row],[TURNO 1]]</f>
        <v>130</v>
      </c>
    </row>
    <row r="69" spans="1:13" x14ac:dyDescent="0.3">
      <c r="A69" s="25">
        <v>68</v>
      </c>
      <c r="B69" s="26" t="s">
        <v>752</v>
      </c>
      <c r="C69" s="26" t="s">
        <v>137</v>
      </c>
      <c r="D69" s="26" t="s">
        <v>255</v>
      </c>
      <c r="E69" s="26">
        <v>184</v>
      </c>
      <c r="F69" s="26">
        <v>111</v>
      </c>
      <c r="G69" s="26">
        <v>92</v>
      </c>
      <c r="H69" s="26">
        <v>92</v>
      </c>
      <c r="I69" s="28"/>
      <c r="J69" s="26">
        <f>ROUNDUP(Tabla95[[#This Row],[PRESELECCIÓN]]*9%,0)</f>
        <v>17</v>
      </c>
      <c r="K69" s="26">
        <f>Tabla95[[#This Row],[PRESELECCIÓN]]+Tabla95[[#This Row],[RESERVA (9%]]</f>
        <v>201</v>
      </c>
      <c r="L69" s="33">
        <f>ROUNDUP(Tabla95[[#This Row],[TOTAL (TITULARES + RESERVAS)]]*60%,0)</f>
        <v>121</v>
      </c>
      <c r="M69" s="33">
        <f>Tabla95[[#This Row],[TOTAL (TITULARES + RESERVAS)]]-Tabla95[[#This Row],[TURNO 1]]</f>
        <v>80</v>
      </c>
    </row>
    <row r="70" spans="1:13" x14ac:dyDescent="0.3">
      <c r="A70" s="25">
        <v>69</v>
      </c>
      <c r="B70" s="26" t="s">
        <v>752</v>
      </c>
      <c r="C70" s="26" t="s">
        <v>138</v>
      </c>
      <c r="D70" s="26" t="s">
        <v>138</v>
      </c>
      <c r="E70" s="26">
        <v>84</v>
      </c>
      <c r="F70" s="26">
        <v>52</v>
      </c>
      <c r="G70" s="26">
        <v>42</v>
      </c>
      <c r="H70" s="26">
        <v>42</v>
      </c>
      <c r="I70" s="28"/>
      <c r="J70" s="26">
        <f>ROUNDUP(Tabla95[[#This Row],[PRESELECCIÓN]]*9%,0)</f>
        <v>8</v>
      </c>
      <c r="K70" s="26">
        <f>Tabla95[[#This Row],[PRESELECCIÓN]]+Tabla95[[#This Row],[RESERVA (9%]]</f>
        <v>92</v>
      </c>
      <c r="L70" s="33">
        <f>ROUNDUP(Tabla95[[#This Row],[TOTAL (TITULARES + RESERVAS)]]*60%,0)</f>
        <v>56</v>
      </c>
      <c r="M70" s="33">
        <f>Tabla95[[#This Row],[TOTAL (TITULARES + RESERVAS)]]-Tabla95[[#This Row],[TURNO 1]]</f>
        <v>36</v>
      </c>
    </row>
    <row r="71" spans="1:13" x14ac:dyDescent="0.3">
      <c r="A71" s="25">
        <v>70</v>
      </c>
      <c r="B71" s="26" t="s">
        <v>752</v>
      </c>
      <c r="C71" s="26" t="s">
        <v>19</v>
      </c>
      <c r="D71" s="26" t="s">
        <v>19</v>
      </c>
      <c r="E71" s="26">
        <v>174</v>
      </c>
      <c r="F71" s="26">
        <v>104</v>
      </c>
      <c r="G71" s="26">
        <v>87</v>
      </c>
      <c r="H71" s="26">
        <v>87</v>
      </c>
      <c r="I71" s="28"/>
      <c r="J71" s="26">
        <f>ROUNDUP(Tabla95[[#This Row],[PRESELECCIÓN]]*9%,0)</f>
        <v>16</v>
      </c>
      <c r="K71" s="26">
        <f>Tabla95[[#This Row],[PRESELECCIÓN]]+Tabla95[[#This Row],[RESERVA (9%]]</f>
        <v>190</v>
      </c>
      <c r="L71" s="33">
        <f>ROUNDUP(Tabla95[[#This Row],[TOTAL (TITULARES + RESERVAS)]]*60%,0)</f>
        <v>114</v>
      </c>
      <c r="M71" s="33">
        <f>Tabla95[[#This Row],[TOTAL (TITULARES + RESERVAS)]]-Tabla95[[#This Row],[TURNO 1]]</f>
        <v>76</v>
      </c>
    </row>
    <row r="72" spans="1:13" x14ac:dyDescent="0.3">
      <c r="A72" s="25">
        <v>71</v>
      </c>
      <c r="B72" s="26" t="s">
        <v>70</v>
      </c>
      <c r="C72" s="26" t="s">
        <v>139</v>
      </c>
      <c r="D72" s="26" t="s">
        <v>70</v>
      </c>
      <c r="E72" s="26">
        <v>440</v>
      </c>
      <c r="F72" s="26">
        <v>267</v>
      </c>
      <c r="G72" s="26">
        <v>220</v>
      </c>
      <c r="H72" s="26">
        <v>216</v>
      </c>
      <c r="I72" s="27">
        <v>4</v>
      </c>
      <c r="J72" s="26">
        <f>ROUNDUP(Tabla95[[#This Row],[PRESELECCIÓN]]*9%,0)</f>
        <v>40</v>
      </c>
      <c r="K72" s="26">
        <f>Tabla95[[#This Row],[PRESELECCIÓN]]+Tabla95[[#This Row],[RESERVA (9%]]</f>
        <v>480</v>
      </c>
      <c r="L72" s="33">
        <f>ROUNDUP(Tabla95[[#This Row],[TOTAL (TITULARES + RESERVAS)]]*60%,0)</f>
        <v>288</v>
      </c>
      <c r="M72" s="33">
        <f>Tabla95[[#This Row],[TOTAL (TITULARES + RESERVAS)]]-Tabla95[[#This Row],[TURNO 1]]</f>
        <v>192</v>
      </c>
    </row>
    <row r="73" spans="1:13" x14ac:dyDescent="0.3">
      <c r="A73" s="25">
        <v>72</v>
      </c>
      <c r="B73" s="26" t="s">
        <v>70</v>
      </c>
      <c r="C73" s="26" t="s">
        <v>140</v>
      </c>
      <c r="D73" s="26" t="s">
        <v>70</v>
      </c>
      <c r="E73" s="26">
        <v>582</v>
      </c>
      <c r="F73" s="26">
        <v>347</v>
      </c>
      <c r="G73" s="26">
        <v>291</v>
      </c>
      <c r="H73" s="26">
        <v>281</v>
      </c>
      <c r="I73" s="27">
        <v>10</v>
      </c>
      <c r="J73" s="26">
        <f>ROUNDUP(Tabla95[[#This Row],[PRESELECCIÓN]]*9%,0)</f>
        <v>53</v>
      </c>
      <c r="K73" s="26">
        <f>Tabla95[[#This Row],[PRESELECCIÓN]]+Tabla95[[#This Row],[RESERVA (9%]]</f>
        <v>635</v>
      </c>
      <c r="L73" s="33">
        <f>ROUNDUP(Tabla95[[#This Row],[TOTAL (TITULARES + RESERVAS)]]*60%,0)</f>
        <v>381</v>
      </c>
      <c r="M73" s="33">
        <f>Tabla95[[#This Row],[TOTAL (TITULARES + RESERVAS)]]-Tabla95[[#This Row],[TURNO 1]]</f>
        <v>254</v>
      </c>
    </row>
    <row r="74" spans="1:13" x14ac:dyDescent="0.3">
      <c r="A74" s="25">
        <v>73</v>
      </c>
      <c r="B74" s="26" t="s">
        <v>70</v>
      </c>
      <c r="C74" s="26" t="s">
        <v>143</v>
      </c>
      <c r="D74" s="26" t="s">
        <v>70</v>
      </c>
      <c r="E74" s="26">
        <v>480</v>
      </c>
      <c r="F74" s="26">
        <v>291</v>
      </c>
      <c r="G74" s="26">
        <v>240</v>
      </c>
      <c r="H74" s="26">
        <v>234</v>
      </c>
      <c r="I74" s="27">
        <v>6</v>
      </c>
      <c r="J74" s="26">
        <f>ROUNDUP(Tabla95[[#This Row],[PRESELECCIÓN]]*9%,0)</f>
        <v>44</v>
      </c>
      <c r="K74" s="26">
        <f>Tabla95[[#This Row],[PRESELECCIÓN]]+Tabla95[[#This Row],[RESERVA (9%]]</f>
        <v>524</v>
      </c>
      <c r="L74" s="33">
        <f>ROUNDUP(Tabla95[[#This Row],[TOTAL (TITULARES + RESERVAS)]]*60%,0)</f>
        <v>315</v>
      </c>
      <c r="M74" s="33">
        <f>Tabla95[[#This Row],[TOTAL (TITULARES + RESERVAS)]]-Tabla95[[#This Row],[TURNO 1]]</f>
        <v>209</v>
      </c>
    </row>
    <row r="75" spans="1:13" x14ac:dyDescent="0.3">
      <c r="A75" s="25">
        <v>74</v>
      </c>
      <c r="B75" s="26" t="s">
        <v>70</v>
      </c>
      <c r="C75" s="26" t="s">
        <v>144</v>
      </c>
      <c r="D75" s="26" t="s">
        <v>746</v>
      </c>
      <c r="E75" s="26">
        <v>652</v>
      </c>
      <c r="F75" s="26">
        <v>383</v>
      </c>
      <c r="G75" s="26">
        <v>326</v>
      </c>
      <c r="H75" s="26">
        <v>312</v>
      </c>
      <c r="I75" s="27">
        <v>14</v>
      </c>
      <c r="J75" s="26">
        <f>ROUNDUP(Tabla95[[#This Row],[PRESELECCIÓN]]*9%,0)</f>
        <v>59</v>
      </c>
      <c r="K75" s="26">
        <f>Tabla95[[#This Row],[PRESELECCIÓN]]+Tabla95[[#This Row],[RESERVA (9%]]</f>
        <v>711</v>
      </c>
      <c r="L75" s="33">
        <f>ROUNDUP(Tabla95[[#This Row],[TOTAL (TITULARES + RESERVAS)]]*60%,0)</f>
        <v>427</v>
      </c>
      <c r="M75" s="33">
        <f>Tabla95[[#This Row],[TOTAL (TITULARES + RESERVAS)]]-Tabla95[[#This Row],[TURNO 1]]</f>
        <v>284</v>
      </c>
    </row>
    <row r="76" spans="1:13" x14ac:dyDescent="0.3">
      <c r="A76" s="25">
        <v>75</v>
      </c>
      <c r="B76" s="26" t="s">
        <v>70</v>
      </c>
      <c r="C76" s="26" t="s">
        <v>145</v>
      </c>
      <c r="D76" s="26" t="s">
        <v>746</v>
      </c>
      <c r="E76" s="26">
        <v>570</v>
      </c>
      <c r="F76" s="26">
        <v>336</v>
      </c>
      <c r="G76" s="26">
        <v>285</v>
      </c>
      <c r="H76" s="26">
        <v>276</v>
      </c>
      <c r="I76" s="27">
        <v>9</v>
      </c>
      <c r="J76" s="26">
        <f>ROUNDUP(Tabla95[[#This Row],[PRESELECCIÓN]]*9%,0)</f>
        <v>52</v>
      </c>
      <c r="K76" s="26">
        <f>Tabla95[[#This Row],[PRESELECCIÓN]]+Tabla95[[#This Row],[RESERVA (9%]]</f>
        <v>622</v>
      </c>
      <c r="L76" s="33">
        <f>ROUNDUP(Tabla95[[#This Row],[TOTAL (TITULARES + RESERVAS)]]*60%,0)</f>
        <v>374</v>
      </c>
      <c r="M76" s="33">
        <f>Tabla95[[#This Row],[TOTAL (TITULARES + RESERVAS)]]-Tabla95[[#This Row],[TURNO 1]]</f>
        <v>248</v>
      </c>
    </row>
    <row r="77" spans="1:13" x14ac:dyDescent="0.3">
      <c r="A77" s="25">
        <v>76</v>
      </c>
      <c r="B77" s="26" t="s">
        <v>727</v>
      </c>
      <c r="C77" s="26" t="s">
        <v>146</v>
      </c>
      <c r="D77" s="26" t="s">
        <v>146</v>
      </c>
      <c r="E77" s="26">
        <v>56</v>
      </c>
      <c r="F77" s="26">
        <v>35</v>
      </c>
      <c r="G77" s="26">
        <v>28</v>
      </c>
      <c r="H77" s="26">
        <v>28</v>
      </c>
      <c r="I77" s="28"/>
      <c r="J77" s="26">
        <f>ROUNDUP(Tabla95[[#This Row],[PRESELECCIÓN]]*9%,0)</f>
        <v>6</v>
      </c>
      <c r="K77" s="26">
        <f>Tabla95[[#This Row],[PRESELECCIÓN]]+Tabla95[[#This Row],[RESERVA (9%]]</f>
        <v>62</v>
      </c>
      <c r="L77" s="33">
        <f>ROUNDUP(Tabla95[[#This Row],[TOTAL (TITULARES + RESERVAS)]]*60%,0)</f>
        <v>38</v>
      </c>
      <c r="M77" s="33">
        <f>Tabla95[[#This Row],[TOTAL (TITULARES + RESERVAS)]]-Tabla95[[#This Row],[TURNO 1]]</f>
        <v>24</v>
      </c>
    </row>
    <row r="78" spans="1:13" x14ac:dyDescent="0.3">
      <c r="A78" s="25">
        <v>77</v>
      </c>
      <c r="B78" s="26" t="s">
        <v>727</v>
      </c>
      <c r="C78" s="26" t="s">
        <v>147</v>
      </c>
      <c r="D78" s="26" t="s">
        <v>147</v>
      </c>
      <c r="E78" s="26">
        <v>146</v>
      </c>
      <c r="F78" s="26">
        <v>90</v>
      </c>
      <c r="G78" s="26">
        <v>73</v>
      </c>
      <c r="H78" s="26">
        <v>73</v>
      </c>
      <c r="I78" s="28"/>
      <c r="J78" s="26">
        <f>ROUNDUP(Tabla95[[#This Row],[PRESELECCIÓN]]*9%,0)</f>
        <v>14</v>
      </c>
      <c r="K78" s="26">
        <f>Tabla95[[#This Row],[PRESELECCIÓN]]+Tabla95[[#This Row],[RESERVA (9%]]</f>
        <v>160</v>
      </c>
      <c r="L78" s="33">
        <f>ROUNDUP(Tabla95[[#This Row],[TOTAL (TITULARES + RESERVAS)]]*60%,0)</f>
        <v>96</v>
      </c>
      <c r="M78" s="33">
        <f>Tabla95[[#This Row],[TOTAL (TITULARES + RESERVAS)]]-Tabla95[[#This Row],[TURNO 1]]</f>
        <v>64</v>
      </c>
    </row>
    <row r="79" spans="1:13" x14ac:dyDescent="0.3">
      <c r="A79" s="25">
        <v>78</v>
      </c>
      <c r="B79" s="26" t="s">
        <v>727</v>
      </c>
      <c r="C79" s="26" t="s">
        <v>148</v>
      </c>
      <c r="D79" s="26" t="s">
        <v>148</v>
      </c>
      <c r="E79" s="26">
        <v>160</v>
      </c>
      <c r="F79" s="26">
        <v>97</v>
      </c>
      <c r="G79" s="26">
        <v>80</v>
      </c>
      <c r="H79" s="26">
        <v>79</v>
      </c>
      <c r="I79" s="27">
        <v>1</v>
      </c>
      <c r="J79" s="26">
        <f>ROUNDUP(Tabla95[[#This Row],[PRESELECCIÓN]]*9%,0)</f>
        <v>15</v>
      </c>
      <c r="K79" s="26">
        <f>Tabla95[[#This Row],[PRESELECCIÓN]]+Tabla95[[#This Row],[RESERVA (9%]]</f>
        <v>175</v>
      </c>
      <c r="L79" s="33">
        <f>ROUNDUP(Tabla95[[#This Row],[TOTAL (TITULARES + RESERVAS)]]*60%,0)</f>
        <v>105</v>
      </c>
      <c r="M79" s="33">
        <f>Tabla95[[#This Row],[TOTAL (TITULARES + RESERVAS)]]-Tabla95[[#This Row],[TURNO 1]]</f>
        <v>70</v>
      </c>
    </row>
    <row r="80" spans="1:13" x14ac:dyDescent="0.3">
      <c r="A80" s="25">
        <v>79</v>
      </c>
      <c r="B80" s="26" t="s">
        <v>727</v>
      </c>
      <c r="C80" s="26" t="s">
        <v>149</v>
      </c>
      <c r="D80" s="26" t="s">
        <v>741</v>
      </c>
      <c r="E80" s="26">
        <v>254</v>
      </c>
      <c r="F80" s="26">
        <v>154</v>
      </c>
      <c r="G80" s="26">
        <v>127</v>
      </c>
      <c r="H80" s="26">
        <v>125</v>
      </c>
      <c r="I80" s="27">
        <v>2</v>
      </c>
      <c r="J80" s="26">
        <f>ROUNDUP(Tabla95[[#This Row],[PRESELECCIÓN]]*9%,0)</f>
        <v>23</v>
      </c>
      <c r="K80" s="26">
        <f>Tabla95[[#This Row],[PRESELECCIÓN]]+Tabla95[[#This Row],[RESERVA (9%]]</f>
        <v>277</v>
      </c>
      <c r="L80" s="33">
        <f>ROUNDUP(Tabla95[[#This Row],[TOTAL (TITULARES + RESERVAS)]]*60%,0)</f>
        <v>167</v>
      </c>
      <c r="M80" s="33">
        <f>Tabla95[[#This Row],[TOTAL (TITULARES + RESERVAS)]]-Tabla95[[#This Row],[TURNO 1]]</f>
        <v>110</v>
      </c>
    </row>
    <row r="81" spans="1:13" x14ac:dyDescent="0.3">
      <c r="A81" s="25">
        <v>80</v>
      </c>
      <c r="B81" s="26" t="s">
        <v>727</v>
      </c>
      <c r="C81" s="26" t="s">
        <v>151</v>
      </c>
      <c r="D81" s="26" t="s">
        <v>739</v>
      </c>
      <c r="E81" s="26">
        <v>88</v>
      </c>
      <c r="F81" s="26">
        <v>55</v>
      </c>
      <c r="G81" s="26">
        <v>44</v>
      </c>
      <c r="H81" s="26">
        <v>44</v>
      </c>
      <c r="I81" s="20"/>
      <c r="J81" s="26">
        <f>ROUNDUP(Tabla95[[#This Row],[PRESELECCIÓN]]*9%,0)</f>
        <v>8</v>
      </c>
      <c r="K81" s="26">
        <f>Tabla95[[#This Row],[PRESELECCIÓN]]+Tabla95[[#This Row],[RESERVA (9%]]</f>
        <v>96</v>
      </c>
      <c r="L81" s="33">
        <f>ROUNDUP(Tabla95[[#This Row],[TOTAL (TITULARES + RESERVAS)]]*60%,0)</f>
        <v>58</v>
      </c>
      <c r="M81" s="33">
        <f>Tabla95[[#This Row],[TOTAL (TITULARES + RESERVAS)]]-Tabla95[[#This Row],[TURNO 1]]</f>
        <v>38</v>
      </c>
    </row>
    <row r="82" spans="1:13" x14ac:dyDescent="0.3">
      <c r="A82" s="25">
        <v>81</v>
      </c>
      <c r="B82" s="26" t="s">
        <v>727</v>
      </c>
      <c r="C82" s="26" t="s">
        <v>152</v>
      </c>
      <c r="D82" s="26" t="s">
        <v>727</v>
      </c>
      <c r="E82" s="26">
        <v>620</v>
      </c>
      <c r="F82" s="26">
        <v>370</v>
      </c>
      <c r="G82" s="26">
        <v>310</v>
      </c>
      <c r="H82" s="26">
        <v>299</v>
      </c>
      <c r="I82" s="27">
        <v>11</v>
      </c>
      <c r="J82" s="26">
        <f>ROUNDUP(Tabla95[[#This Row],[PRESELECCIÓN]]*9%,0)</f>
        <v>56</v>
      </c>
      <c r="K82" s="26">
        <f>Tabla95[[#This Row],[PRESELECCIÓN]]+Tabla95[[#This Row],[RESERVA (9%]]</f>
        <v>676</v>
      </c>
      <c r="L82" s="33">
        <f>ROUNDUP(Tabla95[[#This Row],[TOTAL (TITULARES + RESERVAS)]]*60%,0)</f>
        <v>406</v>
      </c>
      <c r="M82" s="33">
        <f>Tabla95[[#This Row],[TOTAL (TITULARES + RESERVAS)]]-Tabla95[[#This Row],[TURNO 1]]</f>
        <v>270</v>
      </c>
    </row>
    <row r="83" spans="1:13" x14ac:dyDescent="0.3">
      <c r="A83" s="25">
        <v>82</v>
      </c>
      <c r="B83" s="26" t="s">
        <v>727</v>
      </c>
      <c r="C83" s="26" t="s">
        <v>153</v>
      </c>
      <c r="D83" s="26" t="s">
        <v>727</v>
      </c>
      <c r="E83" s="26">
        <v>594</v>
      </c>
      <c r="F83" s="26">
        <v>356</v>
      </c>
      <c r="G83" s="26">
        <v>297</v>
      </c>
      <c r="H83" s="26">
        <v>285</v>
      </c>
      <c r="I83" s="27">
        <v>12</v>
      </c>
      <c r="J83" s="26">
        <f>ROUNDUP(Tabla95[[#This Row],[PRESELECCIÓN]]*9%,0)</f>
        <v>54</v>
      </c>
      <c r="K83" s="26">
        <f>Tabla95[[#This Row],[PRESELECCIÓN]]+Tabla95[[#This Row],[RESERVA (9%]]</f>
        <v>648</v>
      </c>
      <c r="L83" s="33">
        <f>ROUNDUP(Tabla95[[#This Row],[TOTAL (TITULARES + RESERVAS)]]*60%,0)</f>
        <v>389</v>
      </c>
      <c r="M83" s="33">
        <f>Tabla95[[#This Row],[TOTAL (TITULARES + RESERVAS)]]-Tabla95[[#This Row],[TURNO 1]]</f>
        <v>259</v>
      </c>
    </row>
    <row r="84" spans="1:13" x14ac:dyDescent="0.3">
      <c r="A84" s="25">
        <v>83</v>
      </c>
      <c r="B84" s="26" t="s">
        <v>727</v>
      </c>
      <c r="C84" s="26" t="s">
        <v>154</v>
      </c>
      <c r="D84" s="26" t="s">
        <v>735</v>
      </c>
      <c r="E84" s="26">
        <v>188</v>
      </c>
      <c r="F84" s="26">
        <v>115</v>
      </c>
      <c r="G84" s="26">
        <v>94</v>
      </c>
      <c r="H84" s="26">
        <v>92</v>
      </c>
      <c r="I84" s="27">
        <v>2</v>
      </c>
      <c r="J84" s="26">
        <f>ROUNDUP(Tabla95[[#This Row],[PRESELECCIÓN]]*9%,0)</f>
        <v>17</v>
      </c>
      <c r="K84" s="26">
        <f>Tabla95[[#This Row],[PRESELECCIÓN]]+Tabla95[[#This Row],[RESERVA (9%]]</f>
        <v>205</v>
      </c>
      <c r="L84" s="33">
        <f>ROUNDUP(Tabla95[[#This Row],[TOTAL (TITULARES + RESERVAS)]]*60%,0)</f>
        <v>123</v>
      </c>
      <c r="M84" s="33">
        <f>Tabla95[[#This Row],[TOTAL (TITULARES + RESERVAS)]]-Tabla95[[#This Row],[TURNO 1]]</f>
        <v>82</v>
      </c>
    </row>
    <row r="85" spans="1:13" ht="18" x14ac:dyDescent="0.3">
      <c r="A85" s="25">
        <v>84</v>
      </c>
      <c r="B85" s="26" t="s">
        <v>727</v>
      </c>
      <c r="C85" s="26" t="s">
        <v>155</v>
      </c>
      <c r="D85" s="26" t="s">
        <v>732</v>
      </c>
      <c r="E85" s="26">
        <v>382</v>
      </c>
      <c r="F85" s="26">
        <v>230</v>
      </c>
      <c r="G85" s="26">
        <v>191</v>
      </c>
      <c r="H85" s="26">
        <v>188</v>
      </c>
      <c r="I85" s="27">
        <v>3</v>
      </c>
      <c r="J85" s="26">
        <f>ROUNDUP(Tabla95[[#This Row],[PRESELECCIÓN]]*9%,0)</f>
        <v>35</v>
      </c>
      <c r="K85" s="26">
        <f>Tabla95[[#This Row],[PRESELECCIÓN]]+Tabla95[[#This Row],[RESERVA (9%]]</f>
        <v>417</v>
      </c>
      <c r="L85" s="33">
        <f>ROUNDUP(Tabla95[[#This Row],[TOTAL (TITULARES + RESERVAS)]]*60%,0)</f>
        <v>251</v>
      </c>
      <c r="M85" s="33">
        <f>Tabla95[[#This Row],[TOTAL (TITULARES + RESERVAS)]]-Tabla95[[#This Row],[TURNO 1]]</f>
        <v>166</v>
      </c>
    </row>
    <row r="86" spans="1:13" x14ac:dyDescent="0.3">
      <c r="A86" s="25">
        <v>85</v>
      </c>
      <c r="B86" s="26" t="s">
        <v>727</v>
      </c>
      <c r="C86" s="26" t="s">
        <v>156</v>
      </c>
      <c r="D86" s="26" t="s">
        <v>156</v>
      </c>
      <c r="E86" s="26">
        <v>74</v>
      </c>
      <c r="F86" s="26">
        <v>45</v>
      </c>
      <c r="G86" s="26">
        <v>37</v>
      </c>
      <c r="H86" s="26">
        <v>37</v>
      </c>
      <c r="I86" s="20"/>
      <c r="J86" s="26">
        <f>ROUNDUP(Tabla95[[#This Row],[PRESELECCIÓN]]*9%,0)</f>
        <v>7</v>
      </c>
      <c r="K86" s="26">
        <f>Tabla95[[#This Row],[PRESELECCIÓN]]+Tabla95[[#This Row],[RESERVA (9%]]</f>
        <v>81</v>
      </c>
      <c r="L86" s="33">
        <f>ROUNDUP(Tabla95[[#This Row],[TOTAL (TITULARES + RESERVAS)]]*60%,0)</f>
        <v>49</v>
      </c>
      <c r="M86" s="33">
        <f>Tabla95[[#This Row],[TOTAL (TITULARES + RESERVAS)]]-Tabla95[[#This Row],[TURNO 1]]</f>
        <v>32</v>
      </c>
    </row>
    <row r="87" spans="1:13" x14ac:dyDescent="0.3">
      <c r="A87" s="25">
        <v>86</v>
      </c>
      <c r="B87" s="26" t="s">
        <v>727</v>
      </c>
      <c r="C87" s="26" t="s">
        <v>157</v>
      </c>
      <c r="D87" s="26" t="s">
        <v>729</v>
      </c>
      <c r="E87" s="26">
        <v>172</v>
      </c>
      <c r="F87" s="26">
        <v>105</v>
      </c>
      <c r="G87" s="26">
        <v>86</v>
      </c>
      <c r="H87" s="26">
        <v>86</v>
      </c>
      <c r="I87" s="20"/>
      <c r="J87" s="26">
        <f>ROUNDUP(Tabla95[[#This Row],[PRESELECCIÓN]]*9%,0)</f>
        <v>16</v>
      </c>
      <c r="K87" s="26">
        <f>Tabla95[[#This Row],[PRESELECCIÓN]]+Tabla95[[#This Row],[RESERVA (9%]]</f>
        <v>188</v>
      </c>
      <c r="L87" s="33">
        <f>ROUNDUP(Tabla95[[#This Row],[TOTAL (TITULARES + RESERVAS)]]*60%,0)</f>
        <v>113</v>
      </c>
      <c r="M87" s="33">
        <f>Tabla95[[#This Row],[TOTAL (TITULARES + RESERVAS)]]-Tabla95[[#This Row],[TURNO 1]]</f>
        <v>75</v>
      </c>
    </row>
    <row r="88" spans="1:13" x14ac:dyDescent="0.3">
      <c r="A88" s="25">
        <v>87</v>
      </c>
      <c r="B88" s="26" t="s">
        <v>727</v>
      </c>
      <c r="C88" s="26" t="s">
        <v>158</v>
      </c>
      <c r="D88" s="26" t="s">
        <v>158</v>
      </c>
      <c r="E88" s="26">
        <v>196</v>
      </c>
      <c r="F88" s="26">
        <v>120</v>
      </c>
      <c r="G88" s="26">
        <v>98</v>
      </c>
      <c r="H88" s="26">
        <v>98</v>
      </c>
      <c r="I88" s="20"/>
      <c r="J88" s="26">
        <f>ROUNDUP(Tabla95[[#This Row],[PRESELECCIÓN]]*9%,0)</f>
        <v>18</v>
      </c>
      <c r="K88" s="26">
        <f>Tabla95[[#This Row],[PRESELECCIÓN]]+Tabla95[[#This Row],[RESERVA (9%]]</f>
        <v>214</v>
      </c>
      <c r="L88" s="33">
        <f>ROUNDUP(Tabla95[[#This Row],[TOTAL (TITULARES + RESERVAS)]]*60%,0)</f>
        <v>129</v>
      </c>
      <c r="M88" s="33">
        <f>Tabla95[[#This Row],[TOTAL (TITULARES + RESERVAS)]]-Tabla95[[#This Row],[TURNO 1]]</f>
        <v>85</v>
      </c>
    </row>
    <row r="89" spans="1:13" x14ac:dyDescent="0.3">
      <c r="A89" s="25">
        <v>88</v>
      </c>
      <c r="B89" s="26" t="s">
        <v>699</v>
      </c>
      <c r="C89" s="26" t="s">
        <v>159</v>
      </c>
      <c r="D89" s="26" t="s">
        <v>159</v>
      </c>
      <c r="E89" s="26">
        <v>72</v>
      </c>
      <c r="F89" s="26">
        <v>46</v>
      </c>
      <c r="G89" s="26">
        <v>36</v>
      </c>
      <c r="H89" s="26">
        <v>36</v>
      </c>
      <c r="I89" s="20"/>
      <c r="J89" s="26">
        <f>ROUNDUP(Tabla95[[#This Row],[PRESELECCIÓN]]*9%,0)</f>
        <v>7</v>
      </c>
      <c r="K89" s="26">
        <f>Tabla95[[#This Row],[PRESELECCIÓN]]+Tabla95[[#This Row],[RESERVA (9%]]</f>
        <v>79</v>
      </c>
      <c r="L89" s="33">
        <f>ROUNDUP(Tabla95[[#This Row],[TOTAL (TITULARES + RESERVAS)]]*60%,0)</f>
        <v>48</v>
      </c>
      <c r="M89" s="33">
        <f>Tabla95[[#This Row],[TOTAL (TITULARES + RESERVAS)]]-Tabla95[[#This Row],[TURNO 1]]</f>
        <v>31</v>
      </c>
    </row>
    <row r="90" spans="1:13" x14ac:dyDescent="0.3">
      <c r="A90" s="25">
        <v>89</v>
      </c>
      <c r="B90" s="26" t="s">
        <v>699</v>
      </c>
      <c r="C90" s="26" t="s">
        <v>160</v>
      </c>
      <c r="D90" s="26" t="s">
        <v>724</v>
      </c>
      <c r="E90" s="26">
        <v>118</v>
      </c>
      <c r="F90" s="26">
        <v>72</v>
      </c>
      <c r="G90" s="26">
        <v>59</v>
      </c>
      <c r="H90" s="26">
        <v>59</v>
      </c>
      <c r="I90" s="20"/>
      <c r="J90" s="26">
        <f>ROUNDUP(Tabla95[[#This Row],[PRESELECCIÓN]]*9%,0)</f>
        <v>11</v>
      </c>
      <c r="K90" s="26">
        <f>Tabla95[[#This Row],[PRESELECCIÓN]]+Tabla95[[#This Row],[RESERVA (9%]]</f>
        <v>129</v>
      </c>
      <c r="L90" s="33">
        <f>ROUNDUP(Tabla95[[#This Row],[TOTAL (TITULARES + RESERVAS)]]*60%,0)</f>
        <v>78</v>
      </c>
      <c r="M90" s="33">
        <f>Tabla95[[#This Row],[TOTAL (TITULARES + RESERVAS)]]-Tabla95[[#This Row],[TURNO 1]]</f>
        <v>51</v>
      </c>
    </row>
    <row r="91" spans="1:13" x14ac:dyDescent="0.3">
      <c r="A91" s="25">
        <v>90</v>
      </c>
      <c r="B91" s="26" t="s">
        <v>699</v>
      </c>
      <c r="C91" s="26" t="s">
        <v>161</v>
      </c>
      <c r="D91" s="26" t="s">
        <v>161</v>
      </c>
      <c r="E91" s="26">
        <v>132</v>
      </c>
      <c r="F91" s="26">
        <v>81</v>
      </c>
      <c r="G91" s="26">
        <v>66</v>
      </c>
      <c r="H91" s="26">
        <v>66</v>
      </c>
      <c r="I91" s="20"/>
      <c r="J91" s="26">
        <f>ROUNDUP(Tabla95[[#This Row],[PRESELECCIÓN]]*9%,0)</f>
        <v>12</v>
      </c>
      <c r="K91" s="26">
        <f>Tabla95[[#This Row],[PRESELECCIÓN]]+Tabla95[[#This Row],[RESERVA (9%]]</f>
        <v>144</v>
      </c>
      <c r="L91" s="33">
        <f>ROUNDUP(Tabla95[[#This Row],[TOTAL (TITULARES + RESERVAS)]]*60%,0)</f>
        <v>87</v>
      </c>
      <c r="M91" s="33">
        <f>Tabla95[[#This Row],[TOTAL (TITULARES + RESERVAS)]]-Tabla95[[#This Row],[TURNO 1]]</f>
        <v>57</v>
      </c>
    </row>
    <row r="92" spans="1:13" ht="18" x14ac:dyDescent="0.3">
      <c r="A92" s="25">
        <v>91</v>
      </c>
      <c r="B92" s="26" t="s">
        <v>699</v>
      </c>
      <c r="C92" s="26" t="s">
        <v>162</v>
      </c>
      <c r="D92" s="26" t="s">
        <v>699</v>
      </c>
      <c r="E92" s="26">
        <v>438</v>
      </c>
      <c r="F92" s="26">
        <v>263</v>
      </c>
      <c r="G92" s="26">
        <v>219</v>
      </c>
      <c r="H92" s="26">
        <v>219</v>
      </c>
      <c r="I92" s="20"/>
      <c r="J92" s="26">
        <f>ROUNDUP(Tabla95[[#This Row],[PRESELECCIÓN]]*9%,0)</f>
        <v>40</v>
      </c>
      <c r="K92" s="26">
        <f>Tabla95[[#This Row],[PRESELECCIÓN]]+Tabla95[[#This Row],[RESERVA (9%]]</f>
        <v>478</v>
      </c>
      <c r="L92" s="33">
        <f>ROUNDUP(Tabla95[[#This Row],[TOTAL (TITULARES + RESERVAS)]]*60%,0)</f>
        <v>287</v>
      </c>
      <c r="M92" s="33">
        <f>Tabla95[[#This Row],[TOTAL (TITULARES + RESERVAS)]]-Tabla95[[#This Row],[TURNO 1]]</f>
        <v>191</v>
      </c>
    </row>
    <row r="93" spans="1:13" x14ac:dyDescent="0.3">
      <c r="A93" s="25">
        <v>92</v>
      </c>
      <c r="B93" s="26" t="s">
        <v>699</v>
      </c>
      <c r="C93" s="26" t="s">
        <v>163</v>
      </c>
      <c r="D93" s="26" t="s">
        <v>720</v>
      </c>
      <c r="E93" s="26">
        <v>386</v>
      </c>
      <c r="F93" s="26">
        <v>234</v>
      </c>
      <c r="G93" s="26">
        <v>193</v>
      </c>
      <c r="H93" s="26">
        <v>192</v>
      </c>
      <c r="I93" s="27">
        <v>1</v>
      </c>
      <c r="J93" s="26">
        <f>ROUNDUP(Tabla95[[#This Row],[PRESELECCIÓN]]*9%,0)</f>
        <v>35</v>
      </c>
      <c r="K93" s="26">
        <f>Tabla95[[#This Row],[PRESELECCIÓN]]+Tabla95[[#This Row],[RESERVA (9%]]</f>
        <v>421</v>
      </c>
      <c r="L93" s="33">
        <f>ROUNDUP(Tabla95[[#This Row],[TOTAL (TITULARES + RESERVAS)]]*60%,0)</f>
        <v>253</v>
      </c>
      <c r="M93" s="33">
        <f>Tabla95[[#This Row],[TOTAL (TITULARES + RESERVAS)]]-Tabla95[[#This Row],[TURNO 1]]</f>
        <v>168</v>
      </c>
    </row>
    <row r="94" spans="1:13" x14ac:dyDescent="0.3">
      <c r="A94" s="25">
        <v>93</v>
      </c>
      <c r="B94" s="26" t="s">
        <v>376</v>
      </c>
      <c r="C94" s="26" t="s">
        <v>164</v>
      </c>
      <c r="D94" s="26" t="s">
        <v>164</v>
      </c>
      <c r="E94" s="26">
        <v>178</v>
      </c>
      <c r="F94" s="26">
        <v>109</v>
      </c>
      <c r="G94" s="26">
        <v>89</v>
      </c>
      <c r="H94" s="26">
        <v>87</v>
      </c>
      <c r="I94" s="27">
        <v>2</v>
      </c>
      <c r="J94" s="26">
        <f>ROUNDUP(Tabla95[[#This Row],[PRESELECCIÓN]]*9%,0)</f>
        <v>17</v>
      </c>
      <c r="K94" s="26">
        <f>Tabla95[[#This Row],[PRESELECCIÓN]]+Tabla95[[#This Row],[RESERVA (9%]]</f>
        <v>195</v>
      </c>
      <c r="L94" s="33">
        <f>ROUNDUP(Tabla95[[#This Row],[TOTAL (TITULARES + RESERVAS)]]*60%,0)</f>
        <v>117</v>
      </c>
      <c r="M94" s="33">
        <f>Tabla95[[#This Row],[TOTAL (TITULARES + RESERVAS)]]-Tabla95[[#This Row],[TURNO 1]]</f>
        <v>78</v>
      </c>
    </row>
    <row r="95" spans="1:13" x14ac:dyDescent="0.3">
      <c r="A95" s="25">
        <v>94</v>
      </c>
      <c r="B95" s="26" t="s">
        <v>376</v>
      </c>
      <c r="C95" s="26" t="s">
        <v>165</v>
      </c>
      <c r="D95" s="26" t="s">
        <v>717</v>
      </c>
      <c r="E95" s="26">
        <v>114</v>
      </c>
      <c r="F95" s="26">
        <v>71</v>
      </c>
      <c r="G95" s="26">
        <v>57</v>
      </c>
      <c r="H95" s="26">
        <v>57</v>
      </c>
      <c r="I95" s="20"/>
      <c r="J95" s="26">
        <f>ROUNDUP(Tabla95[[#This Row],[PRESELECCIÓN]]*9%,0)</f>
        <v>11</v>
      </c>
      <c r="K95" s="26">
        <f>Tabla95[[#This Row],[PRESELECCIÓN]]+Tabla95[[#This Row],[RESERVA (9%]]</f>
        <v>125</v>
      </c>
      <c r="L95" s="33">
        <f>ROUNDUP(Tabla95[[#This Row],[TOTAL (TITULARES + RESERVAS)]]*60%,0)</f>
        <v>75</v>
      </c>
      <c r="M95" s="33">
        <f>Tabla95[[#This Row],[TOTAL (TITULARES + RESERVAS)]]-Tabla95[[#This Row],[TURNO 1]]</f>
        <v>50</v>
      </c>
    </row>
    <row r="96" spans="1:13" x14ac:dyDescent="0.3">
      <c r="A96" s="25">
        <v>95</v>
      </c>
      <c r="B96" s="26" t="s">
        <v>376</v>
      </c>
      <c r="C96" s="26" t="s">
        <v>166</v>
      </c>
      <c r="D96" s="26" t="s">
        <v>141</v>
      </c>
      <c r="E96" s="26">
        <v>130</v>
      </c>
      <c r="F96" s="26">
        <v>79</v>
      </c>
      <c r="G96" s="26">
        <v>65</v>
      </c>
      <c r="H96" s="26">
        <v>63</v>
      </c>
      <c r="I96" s="27">
        <v>2</v>
      </c>
      <c r="J96" s="26">
        <f>ROUNDUP(Tabla95[[#This Row],[PRESELECCIÓN]]*9%,0)</f>
        <v>12</v>
      </c>
      <c r="K96" s="26">
        <f>Tabla95[[#This Row],[PRESELECCIÓN]]+Tabla95[[#This Row],[RESERVA (9%]]</f>
        <v>142</v>
      </c>
      <c r="L96" s="33">
        <f>ROUNDUP(Tabla95[[#This Row],[TOTAL (TITULARES + RESERVAS)]]*60%,0)</f>
        <v>86</v>
      </c>
      <c r="M96" s="33">
        <f>Tabla95[[#This Row],[TOTAL (TITULARES + RESERVAS)]]-Tabla95[[#This Row],[TURNO 1]]</f>
        <v>56</v>
      </c>
    </row>
    <row r="97" spans="1:13" x14ac:dyDescent="0.3">
      <c r="A97" s="25">
        <v>96</v>
      </c>
      <c r="B97" s="26" t="s">
        <v>376</v>
      </c>
      <c r="C97" s="26" t="s">
        <v>169</v>
      </c>
      <c r="D97" s="26" t="s">
        <v>376</v>
      </c>
      <c r="E97" s="26">
        <v>484</v>
      </c>
      <c r="F97" s="26">
        <v>289</v>
      </c>
      <c r="G97" s="26">
        <v>242</v>
      </c>
      <c r="H97" s="26">
        <v>239</v>
      </c>
      <c r="I97" s="27">
        <v>3</v>
      </c>
      <c r="J97" s="26">
        <f>ROUNDUP(Tabla95[[#This Row],[PRESELECCIÓN]]*9%,0)</f>
        <v>44</v>
      </c>
      <c r="K97" s="26">
        <f>Tabla95[[#This Row],[PRESELECCIÓN]]+Tabla95[[#This Row],[RESERVA (9%]]</f>
        <v>528</v>
      </c>
      <c r="L97" s="33">
        <f>ROUNDUP(Tabla95[[#This Row],[TOTAL (TITULARES + RESERVAS)]]*60%,0)</f>
        <v>317</v>
      </c>
      <c r="M97" s="33">
        <f>Tabla95[[#This Row],[TOTAL (TITULARES + RESERVAS)]]-Tabla95[[#This Row],[TURNO 1]]</f>
        <v>211</v>
      </c>
    </row>
    <row r="98" spans="1:13" x14ac:dyDescent="0.3">
      <c r="A98" s="25">
        <v>97</v>
      </c>
      <c r="B98" s="26" t="s">
        <v>376</v>
      </c>
      <c r="C98" s="26" t="s">
        <v>171</v>
      </c>
      <c r="D98" s="26" t="s">
        <v>142</v>
      </c>
      <c r="E98" s="26">
        <v>528</v>
      </c>
      <c r="F98" s="26">
        <v>318</v>
      </c>
      <c r="G98" s="26">
        <v>264</v>
      </c>
      <c r="H98" s="26">
        <v>258</v>
      </c>
      <c r="I98" s="27">
        <v>6</v>
      </c>
      <c r="J98" s="26">
        <f>ROUNDUP(Tabla95[[#This Row],[PRESELECCIÓN]]*9%,0)</f>
        <v>48</v>
      </c>
      <c r="K98" s="26">
        <f>Tabla95[[#This Row],[PRESELECCIÓN]]+Tabla95[[#This Row],[RESERVA (9%]]</f>
        <v>576</v>
      </c>
      <c r="L98" s="33">
        <f>ROUNDUP(Tabla95[[#This Row],[TOTAL (TITULARES + RESERVAS)]]*60%,0)</f>
        <v>346</v>
      </c>
      <c r="M98" s="33">
        <f>Tabla95[[#This Row],[TOTAL (TITULARES + RESERVAS)]]-Tabla95[[#This Row],[TURNO 1]]</f>
        <v>230</v>
      </c>
    </row>
    <row r="99" spans="1:13" x14ac:dyDescent="0.3">
      <c r="A99" s="25">
        <v>98</v>
      </c>
      <c r="B99" s="26" t="s">
        <v>376</v>
      </c>
      <c r="C99" s="26" t="s">
        <v>176</v>
      </c>
      <c r="D99" s="26" t="s">
        <v>33</v>
      </c>
      <c r="E99" s="26">
        <v>94</v>
      </c>
      <c r="F99" s="26">
        <v>57</v>
      </c>
      <c r="G99" s="26">
        <v>47</v>
      </c>
      <c r="H99" s="26">
        <v>47</v>
      </c>
      <c r="I99" s="20"/>
      <c r="J99" s="26">
        <f>ROUNDUP(Tabla95[[#This Row],[PRESELECCIÓN]]*9%,0)</f>
        <v>9</v>
      </c>
      <c r="K99" s="26">
        <f>Tabla95[[#This Row],[PRESELECCIÓN]]+Tabla95[[#This Row],[RESERVA (9%]]</f>
        <v>103</v>
      </c>
      <c r="L99" s="33">
        <f>ROUNDUP(Tabla95[[#This Row],[TOTAL (TITULARES + RESERVAS)]]*60%,0)</f>
        <v>62</v>
      </c>
      <c r="M99" s="33">
        <f>Tabla95[[#This Row],[TOTAL (TITULARES + RESERVAS)]]-Tabla95[[#This Row],[TURNO 1]]</f>
        <v>41</v>
      </c>
    </row>
    <row r="100" spans="1:13" x14ac:dyDescent="0.3">
      <c r="A100" s="25">
        <v>99</v>
      </c>
      <c r="B100" s="26" t="s">
        <v>376</v>
      </c>
      <c r="C100" s="26" t="s">
        <v>177</v>
      </c>
      <c r="D100" s="26" t="s">
        <v>711</v>
      </c>
      <c r="E100" s="26">
        <v>564</v>
      </c>
      <c r="F100" s="26">
        <v>338</v>
      </c>
      <c r="G100" s="26">
        <v>282</v>
      </c>
      <c r="H100" s="26">
        <v>273</v>
      </c>
      <c r="I100" s="27">
        <v>9</v>
      </c>
      <c r="J100" s="26">
        <f>ROUNDUP(Tabla95[[#This Row],[PRESELECCIÓN]]*9%,0)</f>
        <v>51</v>
      </c>
      <c r="K100" s="26">
        <f>Tabla95[[#This Row],[PRESELECCIÓN]]+Tabla95[[#This Row],[RESERVA (9%]]</f>
        <v>615</v>
      </c>
      <c r="L100" s="33">
        <f>ROUNDUP(Tabla95[[#This Row],[TOTAL (TITULARES + RESERVAS)]]*60%,0)</f>
        <v>369</v>
      </c>
      <c r="M100" s="33">
        <f>Tabla95[[#This Row],[TOTAL (TITULARES + RESERVAS)]]-Tabla95[[#This Row],[TURNO 1]]</f>
        <v>246</v>
      </c>
    </row>
    <row r="101" spans="1:13" x14ac:dyDescent="0.3">
      <c r="A101" s="25">
        <v>100</v>
      </c>
      <c r="B101" s="26" t="s">
        <v>376</v>
      </c>
      <c r="C101" s="26" t="s">
        <v>175</v>
      </c>
      <c r="D101" s="26" t="s">
        <v>709</v>
      </c>
      <c r="E101" s="26">
        <v>158</v>
      </c>
      <c r="F101" s="26">
        <v>94</v>
      </c>
      <c r="G101" s="26">
        <v>79</v>
      </c>
      <c r="H101" s="26">
        <v>79</v>
      </c>
      <c r="I101" s="20"/>
      <c r="J101" s="26">
        <f>ROUNDUP(Tabla95[[#This Row],[PRESELECCIÓN]]*9%,0)</f>
        <v>15</v>
      </c>
      <c r="K101" s="26">
        <f>Tabla95[[#This Row],[PRESELECCIÓN]]+Tabla95[[#This Row],[RESERVA (9%]]</f>
        <v>173</v>
      </c>
      <c r="L101" s="33">
        <f>ROUNDUP(Tabla95[[#This Row],[TOTAL (TITULARES + RESERVAS)]]*60%,0)</f>
        <v>104</v>
      </c>
      <c r="M101" s="33">
        <f>Tabla95[[#This Row],[TOTAL (TITULARES + RESERVAS)]]-Tabla95[[#This Row],[TURNO 1]]</f>
        <v>69</v>
      </c>
    </row>
    <row r="102" spans="1:13" x14ac:dyDescent="0.3">
      <c r="A102" s="25">
        <v>101</v>
      </c>
      <c r="B102" s="26" t="s">
        <v>376</v>
      </c>
      <c r="C102" s="26" t="s">
        <v>179</v>
      </c>
      <c r="D102" s="26" t="s">
        <v>707</v>
      </c>
      <c r="E102" s="26">
        <v>158</v>
      </c>
      <c r="F102" s="26">
        <v>96</v>
      </c>
      <c r="G102" s="26">
        <v>79</v>
      </c>
      <c r="H102" s="26">
        <v>79</v>
      </c>
      <c r="I102" s="20"/>
      <c r="J102" s="26">
        <f>ROUNDUP(Tabla95[[#This Row],[PRESELECCIÓN]]*9%,0)</f>
        <v>15</v>
      </c>
      <c r="K102" s="26">
        <f>Tabla95[[#This Row],[PRESELECCIÓN]]+Tabla95[[#This Row],[RESERVA (9%]]</f>
        <v>173</v>
      </c>
      <c r="L102" s="33">
        <f>ROUNDUP(Tabla95[[#This Row],[TOTAL (TITULARES + RESERVAS)]]*60%,0)</f>
        <v>104</v>
      </c>
      <c r="M102" s="33">
        <f>Tabla95[[#This Row],[TOTAL (TITULARES + RESERVAS)]]-Tabla95[[#This Row],[TURNO 1]]</f>
        <v>69</v>
      </c>
    </row>
    <row r="103" spans="1:13" x14ac:dyDescent="0.3">
      <c r="A103" s="25">
        <v>102</v>
      </c>
      <c r="B103" s="26" t="s">
        <v>376</v>
      </c>
      <c r="C103" s="26" t="s">
        <v>180</v>
      </c>
      <c r="D103" s="26" t="s">
        <v>705</v>
      </c>
      <c r="E103" s="26">
        <v>82</v>
      </c>
      <c r="F103" s="26">
        <v>50</v>
      </c>
      <c r="G103" s="26">
        <v>41</v>
      </c>
      <c r="H103" s="26">
        <v>41</v>
      </c>
      <c r="I103" s="20"/>
      <c r="J103" s="26">
        <f>ROUNDUP(Tabla95[[#This Row],[PRESELECCIÓN]]*9%,0)</f>
        <v>8</v>
      </c>
      <c r="K103" s="26">
        <f>Tabla95[[#This Row],[PRESELECCIÓN]]+Tabla95[[#This Row],[RESERVA (9%]]</f>
        <v>90</v>
      </c>
      <c r="L103" s="33">
        <f>ROUNDUP(Tabla95[[#This Row],[TOTAL (TITULARES + RESERVAS)]]*60%,0)</f>
        <v>54</v>
      </c>
      <c r="M103" s="33">
        <f>Tabla95[[#This Row],[TOTAL (TITULARES + RESERVAS)]]-Tabla95[[#This Row],[TURNO 1]]</f>
        <v>36</v>
      </c>
    </row>
    <row r="104" spans="1:13" x14ac:dyDescent="0.3">
      <c r="A104" s="25">
        <v>103</v>
      </c>
      <c r="B104" s="26" t="s">
        <v>687</v>
      </c>
      <c r="C104" s="26" t="s">
        <v>182</v>
      </c>
      <c r="D104" s="26" t="s">
        <v>701</v>
      </c>
      <c r="E104" s="26">
        <v>374</v>
      </c>
      <c r="F104" s="26">
        <v>224</v>
      </c>
      <c r="G104" s="26">
        <v>187</v>
      </c>
      <c r="H104" s="26">
        <v>187</v>
      </c>
      <c r="I104" s="20"/>
      <c r="J104" s="26">
        <f>ROUNDUP(Tabla95[[#This Row],[PRESELECCIÓN]]*9%,0)</f>
        <v>34</v>
      </c>
      <c r="K104" s="26">
        <f>Tabla95[[#This Row],[PRESELECCIÓN]]+Tabla95[[#This Row],[RESERVA (9%]]</f>
        <v>408</v>
      </c>
      <c r="L104" s="33">
        <f>ROUNDUP(Tabla95[[#This Row],[TOTAL (TITULARES + RESERVAS)]]*60%,0)</f>
        <v>245</v>
      </c>
      <c r="M104" s="33">
        <f>Tabla95[[#This Row],[TOTAL (TITULARES + RESERVAS)]]-Tabla95[[#This Row],[TURNO 1]]</f>
        <v>163</v>
      </c>
    </row>
    <row r="105" spans="1:13" x14ac:dyDescent="0.3">
      <c r="A105" s="25">
        <v>104</v>
      </c>
      <c r="B105" s="26" t="s">
        <v>687</v>
      </c>
      <c r="C105" s="26" t="s">
        <v>183</v>
      </c>
      <c r="D105" s="26" t="s">
        <v>701</v>
      </c>
      <c r="E105" s="26">
        <v>422</v>
      </c>
      <c r="F105" s="26">
        <v>253</v>
      </c>
      <c r="G105" s="26">
        <v>211</v>
      </c>
      <c r="H105" s="26">
        <v>204</v>
      </c>
      <c r="I105" s="27">
        <v>7</v>
      </c>
      <c r="J105" s="26">
        <f>ROUNDUP(Tabla95[[#This Row],[PRESELECCIÓN]]*9%,0)</f>
        <v>38</v>
      </c>
      <c r="K105" s="26">
        <f>Tabla95[[#This Row],[PRESELECCIÓN]]+Tabla95[[#This Row],[RESERVA (9%]]</f>
        <v>460</v>
      </c>
      <c r="L105" s="33">
        <f>ROUNDUP(Tabla95[[#This Row],[TOTAL (TITULARES + RESERVAS)]]*60%,0)</f>
        <v>276</v>
      </c>
      <c r="M105" s="33">
        <f>Tabla95[[#This Row],[TOTAL (TITULARES + RESERVAS)]]-Tabla95[[#This Row],[TURNO 1]]</f>
        <v>184</v>
      </c>
    </row>
    <row r="106" spans="1:13" x14ac:dyDescent="0.3">
      <c r="A106" s="25">
        <v>105</v>
      </c>
      <c r="B106" s="26" t="s">
        <v>687</v>
      </c>
      <c r="C106" s="26" t="s">
        <v>184</v>
      </c>
      <c r="D106" s="26" t="s">
        <v>184</v>
      </c>
      <c r="E106" s="26">
        <v>70</v>
      </c>
      <c r="F106" s="26">
        <v>43</v>
      </c>
      <c r="G106" s="26">
        <v>35</v>
      </c>
      <c r="H106" s="26">
        <v>35</v>
      </c>
      <c r="I106" s="20"/>
      <c r="J106" s="26">
        <f>ROUNDUP(Tabla95[[#This Row],[PRESELECCIÓN]]*9%,0)</f>
        <v>7</v>
      </c>
      <c r="K106" s="26">
        <f>Tabla95[[#This Row],[PRESELECCIÓN]]+Tabla95[[#This Row],[RESERVA (9%]]</f>
        <v>77</v>
      </c>
      <c r="L106" s="33">
        <f>ROUNDUP(Tabla95[[#This Row],[TOTAL (TITULARES + RESERVAS)]]*60%,0)</f>
        <v>47</v>
      </c>
      <c r="M106" s="33">
        <f>Tabla95[[#This Row],[TOTAL (TITULARES + RESERVAS)]]-Tabla95[[#This Row],[TURNO 1]]</f>
        <v>30</v>
      </c>
    </row>
    <row r="107" spans="1:13" x14ac:dyDescent="0.3">
      <c r="A107" s="25">
        <v>106</v>
      </c>
      <c r="B107" s="26" t="s">
        <v>687</v>
      </c>
      <c r="C107" s="26" t="s">
        <v>185</v>
      </c>
      <c r="D107" s="26" t="s">
        <v>687</v>
      </c>
      <c r="E107" s="26">
        <v>540</v>
      </c>
      <c r="F107" s="26">
        <v>323</v>
      </c>
      <c r="G107" s="26">
        <v>270</v>
      </c>
      <c r="H107" s="26">
        <v>268</v>
      </c>
      <c r="I107" s="27">
        <v>2</v>
      </c>
      <c r="J107" s="26">
        <f>ROUNDUP(Tabla95[[#This Row],[PRESELECCIÓN]]*9%,0)</f>
        <v>49</v>
      </c>
      <c r="K107" s="26">
        <f>Tabla95[[#This Row],[PRESELECCIÓN]]+Tabla95[[#This Row],[RESERVA (9%]]</f>
        <v>589</v>
      </c>
      <c r="L107" s="33">
        <f>ROUNDUP(Tabla95[[#This Row],[TOTAL (TITULARES + RESERVAS)]]*60%,0)</f>
        <v>354</v>
      </c>
      <c r="M107" s="33">
        <f>Tabla95[[#This Row],[TOTAL (TITULARES + RESERVAS)]]-Tabla95[[#This Row],[TURNO 1]]</f>
        <v>235</v>
      </c>
    </row>
    <row r="108" spans="1:13" x14ac:dyDescent="0.3">
      <c r="A108" s="25">
        <v>107</v>
      </c>
      <c r="B108" s="26" t="s">
        <v>687</v>
      </c>
      <c r="C108" s="26" t="s">
        <v>186</v>
      </c>
      <c r="D108" s="26" t="s">
        <v>687</v>
      </c>
      <c r="E108" s="26">
        <v>676</v>
      </c>
      <c r="F108" s="26">
        <v>401</v>
      </c>
      <c r="G108" s="26">
        <v>338</v>
      </c>
      <c r="H108" s="26">
        <v>330</v>
      </c>
      <c r="I108" s="27">
        <v>8</v>
      </c>
      <c r="J108" s="26">
        <f>ROUNDUP(Tabla95[[#This Row],[PRESELECCIÓN]]*9%,0)</f>
        <v>61</v>
      </c>
      <c r="K108" s="26">
        <f>Tabla95[[#This Row],[PRESELECCIÓN]]+Tabla95[[#This Row],[RESERVA (9%]]</f>
        <v>737</v>
      </c>
      <c r="L108" s="33">
        <f>ROUNDUP(Tabla95[[#This Row],[TOTAL (TITULARES + RESERVAS)]]*60%,0)</f>
        <v>443</v>
      </c>
      <c r="M108" s="33">
        <f>Tabla95[[#This Row],[TOTAL (TITULARES + RESERVAS)]]-Tabla95[[#This Row],[TURNO 1]]</f>
        <v>294</v>
      </c>
    </row>
    <row r="109" spans="1:13" x14ac:dyDescent="0.3">
      <c r="A109" s="25">
        <v>108</v>
      </c>
      <c r="B109" s="26" t="s">
        <v>687</v>
      </c>
      <c r="C109" s="26" t="s">
        <v>167</v>
      </c>
      <c r="D109" s="26" t="s">
        <v>695</v>
      </c>
      <c r="E109" s="26">
        <v>194</v>
      </c>
      <c r="F109" s="26">
        <v>116</v>
      </c>
      <c r="G109" s="26">
        <v>97</v>
      </c>
      <c r="H109" s="26">
        <v>97</v>
      </c>
      <c r="I109" s="20"/>
      <c r="J109" s="26">
        <f>ROUNDUP(Tabla95[[#This Row],[PRESELECCIÓN]]*9%,0)</f>
        <v>18</v>
      </c>
      <c r="K109" s="26">
        <f>Tabla95[[#This Row],[PRESELECCIÓN]]+Tabla95[[#This Row],[RESERVA (9%]]</f>
        <v>212</v>
      </c>
      <c r="L109" s="33">
        <f>ROUNDUP(Tabla95[[#This Row],[TOTAL (TITULARES + RESERVAS)]]*60%,0)</f>
        <v>128</v>
      </c>
      <c r="M109" s="33">
        <f>Tabla95[[#This Row],[TOTAL (TITULARES + RESERVAS)]]-Tabla95[[#This Row],[TURNO 1]]</f>
        <v>84</v>
      </c>
    </row>
    <row r="110" spans="1:13" x14ac:dyDescent="0.3">
      <c r="A110" s="25">
        <v>109</v>
      </c>
      <c r="B110" s="26" t="s">
        <v>687</v>
      </c>
      <c r="C110" s="26" t="s">
        <v>188</v>
      </c>
      <c r="D110" s="26" t="s">
        <v>693</v>
      </c>
      <c r="E110" s="26">
        <v>272</v>
      </c>
      <c r="F110" s="26">
        <v>166</v>
      </c>
      <c r="G110" s="26">
        <v>136</v>
      </c>
      <c r="H110" s="26">
        <v>135</v>
      </c>
      <c r="I110" s="27">
        <v>1</v>
      </c>
      <c r="J110" s="26">
        <f>ROUNDUP(Tabla95[[#This Row],[PRESELECCIÓN]]*9%,0)</f>
        <v>25</v>
      </c>
      <c r="K110" s="26">
        <f>Tabla95[[#This Row],[PRESELECCIÓN]]+Tabla95[[#This Row],[RESERVA (9%]]</f>
        <v>297</v>
      </c>
      <c r="L110" s="33">
        <f>ROUNDUP(Tabla95[[#This Row],[TOTAL (TITULARES + RESERVAS)]]*60%,0)</f>
        <v>179</v>
      </c>
      <c r="M110" s="33">
        <f>Tabla95[[#This Row],[TOTAL (TITULARES + RESERVAS)]]-Tabla95[[#This Row],[TURNO 1]]</f>
        <v>118</v>
      </c>
    </row>
    <row r="111" spans="1:13" x14ac:dyDescent="0.3">
      <c r="A111" s="25">
        <v>110</v>
      </c>
      <c r="B111" s="26" t="s">
        <v>687</v>
      </c>
      <c r="C111" s="26" t="s">
        <v>189</v>
      </c>
      <c r="D111" s="26" t="s">
        <v>689</v>
      </c>
      <c r="E111" s="26">
        <v>160</v>
      </c>
      <c r="F111" s="26">
        <v>97</v>
      </c>
      <c r="G111" s="26">
        <v>80</v>
      </c>
      <c r="H111" s="26">
        <v>80</v>
      </c>
      <c r="I111" s="20"/>
      <c r="J111" s="26">
        <f>ROUNDUP(Tabla95[[#This Row],[PRESELECCIÓN]]*9%,0)</f>
        <v>15</v>
      </c>
      <c r="K111" s="26">
        <f>Tabla95[[#This Row],[PRESELECCIÓN]]+Tabla95[[#This Row],[RESERVA (9%]]</f>
        <v>175</v>
      </c>
      <c r="L111" s="33">
        <f>ROUNDUP(Tabla95[[#This Row],[TOTAL (TITULARES + RESERVAS)]]*60%,0)</f>
        <v>105</v>
      </c>
      <c r="M111" s="33">
        <f>Tabla95[[#This Row],[TOTAL (TITULARES + RESERVAS)]]-Tabla95[[#This Row],[TURNO 1]]</f>
        <v>70</v>
      </c>
    </row>
    <row r="112" spans="1:13" x14ac:dyDescent="0.3">
      <c r="A112" s="25">
        <v>111</v>
      </c>
      <c r="B112" s="26" t="s">
        <v>687</v>
      </c>
      <c r="C112" s="26" t="s">
        <v>25</v>
      </c>
      <c r="D112" s="26" t="s">
        <v>25</v>
      </c>
      <c r="E112" s="26">
        <v>520</v>
      </c>
      <c r="F112" s="26">
        <v>309</v>
      </c>
      <c r="G112" s="26">
        <v>260</v>
      </c>
      <c r="H112" s="26">
        <v>258</v>
      </c>
      <c r="I112" s="27">
        <v>2</v>
      </c>
      <c r="J112" s="26">
        <f>ROUNDUP(Tabla95[[#This Row],[PRESELECCIÓN]]*9%,0)</f>
        <v>47</v>
      </c>
      <c r="K112" s="26">
        <f>Tabla95[[#This Row],[PRESELECCIÓN]]+Tabla95[[#This Row],[RESERVA (9%]]</f>
        <v>567</v>
      </c>
      <c r="L112" s="33">
        <f>ROUNDUP(Tabla95[[#This Row],[TOTAL (TITULARES + RESERVAS)]]*60%,0)</f>
        <v>341</v>
      </c>
      <c r="M112" s="33">
        <f>Tabla95[[#This Row],[TOTAL (TITULARES + RESERVAS)]]-Tabla95[[#This Row],[TURNO 1]]</f>
        <v>226</v>
      </c>
    </row>
    <row r="113" spans="1:13" x14ac:dyDescent="0.3">
      <c r="A113" s="25">
        <v>112</v>
      </c>
      <c r="B113" s="26" t="s">
        <v>673</v>
      </c>
      <c r="C113" s="26" t="s">
        <v>191</v>
      </c>
      <c r="D113" s="26" t="s">
        <v>191</v>
      </c>
      <c r="E113" s="26">
        <v>606</v>
      </c>
      <c r="F113" s="26">
        <v>364</v>
      </c>
      <c r="G113" s="26">
        <v>303</v>
      </c>
      <c r="H113" s="26">
        <v>300</v>
      </c>
      <c r="I113" s="27">
        <v>3</v>
      </c>
      <c r="J113" s="26">
        <f>ROUNDUP(Tabla95[[#This Row],[PRESELECCIÓN]]*9%,0)</f>
        <v>55</v>
      </c>
      <c r="K113" s="26">
        <f>Tabla95[[#This Row],[PRESELECCIÓN]]+Tabla95[[#This Row],[RESERVA (9%]]</f>
        <v>661</v>
      </c>
      <c r="L113" s="33">
        <f>ROUNDUP(Tabla95[[#This Row],[TOTAL (TITULARES + RESERVAS)]]*60%,0)</f>
        <v>397</v>
      </c>
      <c r="M113" s="33">
        <f>Tabla95[[#This Row],[TOTAL (TITULARES + RESERVAS)]]-Tabla95[[#This Row],[TURNO 1]]</f>
        <v>264</v>
      </c>
    </row>
    <row r="114" spans="1:13" x14ac:dyDescent="0.3">
      <c r="A114" s="25">
        <v>113</v>
      </c>
      <c r="B114" s="26" t="s">
        <v>673</v>
      </c>
      <c r="C114" s="26" t="s">
        <v>192</v>
      </c>
      <c r="D114" s="26" t="s">
        <v>192</v>
      </c>
      <c r="E114" s="26">
        <v>236</v>
      </c>
      <c r="F114" s="26">
        <v>145</v>
      </c>
      <c r="G114" s="26">
        <v>118</v>
      </c>
      <c r="H114" s="26">
        <v>118</v>
      </c>
      <c r="I114" s="20"/>
      <c r="J114" s="26">
        <f>ROUNDUP(Tabla95[[#This Row],[PRESELECCIÓN]]*9%,0)</f>
        <v>22</v>
      </c>
      <c r="K114" s="26">
        <f>Tabla95[[#This Row],[PRESELECCIÓN]]+Tabla95[[#This Row],[RESERVA (9%]]</f>
        <v>258</v>
      </c>
      <c r="L114" s="33">
        <f>ROUNDUP(Tabla95[[#This Row],[TOTAL (TITULARES + RESERVAS)]]*60%,0)</f>
        <v>155</v>
      </c>
      <c r="M114" s="33">
        <f>Tabla95[[#This Row],[TOTAL (TITULARES + RESERVAS)]]-Tabla95[[#This Row],[TURNO 1]]</f>
        <v>103</v>
      </c>
    </row>
    <row r="115" spans="1:13" x14ac:dyDescent="0.3">
      <c r="A115" s="25">
        <v>114</v>
      </c>
      <c r="B115" s="26" t="s">
        <v>673</v>
      </c>
      <c r="C115" s="26" t="s">
        <v>65</v>
      </c>
      <c r="D115" s="26" t="s">
        <v>65</v>
      </c>
      <c r="E115" s="26">
        <v>194</v>
      </c>
      <c r="F115" s="26">
        <v>118</v>
      </c>
      <c r="G115" s="26">
        <v>97</v>
      </c>
      <c r="H115" s="26">
        <v>96</v>
      </c>
      <c r="I115" s="27">
        <v>1</v>
      </c>
      <c r="J115" s="26">
        <f>ROUNDUP(Tabla95[[#This Row],[PRESELECCIÓN]]*9%,0)</f>
        <v>18</v>
      </c>
      <c r="K115" s="26">
        <f>Tabla95[[#This Row],[PRESELECCIÓN]]+Tabla95[[#This Row],[RESERVA (9%]]</f>
        <v>212</v>
      </c>
      <c r="L115" s="33">
        <f>ROUNDUP(Tabla95[[#This Row],[TOTAL (TITULARES + RESERVAS)]]*60%,0)</f>
        <v>128</v>
      </c>
      <c r="M115" s="33">
        <f>Tabla95[[#This Row],[TOTAL (TITULARES + RESERVAS)]]-Tabla95[[#This Row],[TURNO 1]]</f>
        <v>84</v>
      </c>
    </row>
    <row r="116" spans="1:13" x14ac:dyDescent="0.3">
      <c r="A116" s="25">
        <v>115</v>
      </c>
      <c r="B116" s="26" t="s">
        <v>673</v>
      </c>
      <c r="C116" s="26" t="s">
        <v>193</v>
      </c>
      <c r="D116" s="26" t="s">
        <v>680</v>
      </c>
      <c r="E116" s="26">
        <v>468</v>
      </c>
      <c r="F116" s="26">
        <v>288</v>
      </c>
      <c r="G116" s="26">
        <v>234</v>
      </c>
      <c r="H116" s="26">
        <v>233</v>
      </c>
      <c r="I116" s="27">
        <v>1</v>
      </c>
      <c r="J116" s="26">
        <f>ROUNDUP(Tabla95[[#This Row],[PRESELECCIÓN]]*9%,0)</f>
        <v>43</v>
      </c>
      <c r="K116" s="26">
        <f>Tabla95[[#This Row],[PRESELECCIÓN]]+Tabla95[[#This Row],[RESERVA (9%]]</f>
        <v>511</v>
      </c>
      <c r="L116" s="33">
        <f>ROUNDUP(Tabla95[[#This Row],[TOTAL (TITULARES + RESERVAS)]]*60%,0)</f>
        <v>307</v>
      </c>
      <c r="M116" s="33">
        <f>Tabla95[[#This Row],[TOTAL (TITULARES + RESERVAS)]]-Tabla95[[#This Row],[TURNO 1]]</f>
        <v>204</v>
      </c>
    </row>
    <row r="117" spans="1:13" x14ac:dyDescent="0.3">
      <c r="A117" s="25">
        <v>116</v>
      </c>
      <c r="B117" s="26" t="s">
        <v>673</v>
      </c>
      <c r="C117" s="26" t="s">
        <v>194</v>
      </c>
      <c r="D117" s="26" t="s">
        <v>680</v>
      </c>
      <c r="E117" s="26">
        <v>572</v>
      </c>
      <c r="F117" s="26">
        <v>345</v>
      </c>
      <c r="G117" s="26">
        <v>286</v>
      </c>
      <c r="H117" s="26">
        <v>285</v>
      </c>
      <c r="I117" s="27">
        <v>1</v>
      </c>
      <c r="J117" s="26">
        <f>ROUNDUP(Tabla95[[#This Row],[PRESELECCIÓN]]*9%,0)</f>
        <v>52</v>
      </c>
      <c r="K117" s="26">
        <f>Tabla95[[#This Row],[PRESELECCIÓN]]+Tabla95[[#This Row],[RESERVA (9%]]</f>
        <v>624</v>
      </c>
      <c r="L117" s="33">
        <f>ROUNDUP(Tabla95[[#This Row],[TOTAL (TITULARES + RESERVAS)]]*60%,0)</f>
        <v>375</v>
      </c>
      <c r="M117" s="33">
        <f>Tabla95[[#This Row],[TOTAL (TITULARES + RESERVAS)]]-Tabla95[[#This Row],[TURNO 1]]</f>
        <v>249</v>
      </c>
    </row>
    <row r="118" spans="1:13" x14ac:dyDescent="0.3">
      <c r="A118" s="25">
        <v>117</v>
      </c>
      <c r="B118" s="26" t="s">
        <v>673</v>
      </c>
      <c r="C118" s="26" t="s">
        <v>195</v>
      </c>
      <c r="D118" s="26" t="s">
        <v>680</v>
      </c>
      <c r="E118" s="26">
        <v>440</v>
      </c>
      <c r="F118" s="26">
        <v>268</v>
      </c>
      <c r="G118" s="26">
        <v>220</v>
      </c>
      <c r="H118" s="26">
        <v>219</v>
      </c>
      <c r="I118" s="27">
        <v>1</v>
      </c>
      <c r="J118" s="26">
        <f>ROUNDUP(Tabla95[[#This Row],[PRESELECCIÓN]]*9%,0)</f>
        <v>40</v>
      </c>
      <c r="K118" s="26">
        <f>Tabla95[[#This Row],[PRESELECCIÓN]]+Tabla95[[#This Row],[RESERVA (9%]]</f>
        <v>480</v>
      </c>
      <c r="L118" s="33">
        <f>ROUNDUP(Tabla95[[#This Row],[TOTAL (TITULARES + RESERVAS)]]*60%,0)</f>
        <v>288</v>
      </c>
      <c r="M118" s="33">
        <f>Tabla95[[#This Row],[TOTAL (TITULARES + RESERVAS)]]-Tabla95[[#This Row],[TURNO 1]]</f>
        <v>192</v>
      </c>
    </row>
    <row r="119" spans="1:13" x14ac:dyDescent="0.3">
      <c r="A119" s="25">
        <v>118</v>
      </c>
      <c r="B119" s="26" t="s">
        <v>673</v>
      </c>
      <c r="C119" s="26" t="s">
        <v>196</v>
      </c>
      <c r="D119" s="26" t="s">
        <v>196</v>
      </c>
      <c r="E119" s="26">
        <v>272</v>
      </c>
      <c r="F119" s="26">
        <v>168</v>
      </c>
      <c r="G119" s="26">
        <v>136</v>
      </c>
      <c r="H119" s="26">
        <v>135</v>
      </c>
      <c r="I119" s="27">
        <v>1</v>
      </c>
      <c r="J119" s="26">
        <f>ROUNDUP(Tabla95[[#This Row],[PRESELECCIÓN]]*9%,0)</f>
        <v>25</v>
      </c>
      <c r="K119" s="26">
        <f>Tabla95[[#This Row],[PRESELECCIÓN]]+Tabla95[[#This Row],[RESERVA (9%]]</f>
        <v>297</v>
      </c>
      <c r="L119" s="33">
        <f>ROUNDUP(Tabla95[[#This Row],[TOTAL (TITULARES + RESERVAS)]]*60%,0)</f>
        <v>179</v>
      </c>
      <c r="M119" s="33">
        <f>Tabla95[[#This Row],[TOTAL (TITULARES + RESERVAS)]]-Tabla95[[#This Row],[TURNO 1]]</f>
        <v>118</v>
      </c>
    </row>
    <row r="120" spans="1:13" x14ac:dyDescent="0.3">
      <c r="A120" s="25">
        <v>119</v>
      </c>
      <c r="B120" s="26" t="s">
        <v>673</v>
      </c>
      <c r="C120" s="26" t="s">
        <v>197</v>
      </c>
      <c r="D120" s="26" t="s">
        <v>676</v>
      </c>
      <c r="E120" s="26">
        <v>384</v>
      </c>
      <c r="F120" s="26">
        <v>230</v>
      </c>
      <c r="G120" s="26">
        <v>192</v>
      </c>
      <c r="H120" s="26">
        <v>192</v>
      </c>
      <c r="I120" s="20"/>
      <c r="J120" s="26">
        <f>ROUNDUP(Tabla95[[#This Row],[PRESELECCIÓN]]*9%,0)</f>
        <v>35</v>
      </c>
      <c r="K120" s="26">
        <f>Tabla95[[#This Row],[PRESELECCIÓN]]+Tabla95[[#This Row],[RESERVA (9%]]</f>
        <v>419</v>
      </c>
      <c r="L120" s="33">
        <f>ROUNDUP(Tabla95[[#This Row],[TOTAL (TITULARES + RESERVAS)]]*60%,0)</f>
        <v>252</v>
      </c>
      <c r="M120" s="33">
        <f>Tabla95[[#This Row],[TOTAL (TITULARES + RESERVAS)]]-Tabla95[[#This Row],[TURNO 1]]</f>
        <v>167</v>
      </c>
    </row>
    <row r="121" spans="1:13" x14ac:dyDescent="0.3">
      <c r="A121" s="25">
        <v>120</v>
      </c>
      <c r="B121" s="26" t="s">
        <v>673</v>
      </c>
      <c r="C121" s="26" t="s">
        <v>199</v>
      </c>
      <c r="D121" s="26" t="s">
        <v>676</v>
      </c>
      <c r="E121" s="26">
        <v>352</v>
      </c>
      <c r="F121" s="26">
        <v>210</v>
      </c>
      <c r="G121" s="26">
        <v>176</v>
      </c>
      <c r="H121" s="26">
        <v>175</v>
      </c>
      <c r="I121" s="27">
        <v>1</v>
      </c>
      <c r="J121" s="26">
        <f>ROUNDUP(Tabla95[[#This Row],[PRESELECCIÓN]]*9%,0)</f>
        <v>32</v>
      </c>
      <c r="K121" s="26">
        <f>Tabla95[[#This Row],[PRESELECCIÓN]]+Tabla95[[#This Row],[RESERVA (9%]]</f>
        <v>384</v>
      </c>
      <c r="L121" s="33">
        <f>ROUNDUP(Tabla95[[#This Row],[TOTAL (TITULARES + RESERVAS)]]*60%,0)</f>
        <v>231</v>
      </c>
      <c r="M121" s="33">
        <f>Tabla95[[#This Row],[TOTAL (TITULARES + RESERVAS)]]-Tabla95[[#This Row],[TURNO 1]]</f>
        <v>153</v>
      </c>
    </row>
    <row r="122" spans="1:13" x14ac:dyDescent="0.3">
      <c r="A122" s="25">
        <v>121</v>
      </c>
      <c r="B122" s="26" t="s">
        <v>673</v>
      </c>
      <c r="C122" s="26" t="s">
        <v>200</v>
      </c>
      <c r="D122" s="26" t="s">
        <v>200</v>
      </c>
      <c r="E122" s="26">
        <v>258</v>
      </c>
      <c r="F122" s="26">
        <v>159</v>
      </c>
      <c r="G122" s="26">
        <v>129</v>
      </c>
      <c r="H122" s="26">
        <v>128</v>
      </c>
      <c r="I122" s="27">
        <v>1</v>
      </c>
      <c r="J122" s="26">
        <f>ROUNDUP(Tabla95[[#This Row],[PRESELECCIÓN]]*9%,0)</f>
        <v>24</v>
      </c>
      <c r="K122" s="26">
        <f>Tabla95[[#This Row],[PRESELECCIÓN]]+Tabla95[[#This Row],[RESERVA (9%]]</f>
        <v>282</v>
      </c>
      <c r="L122" s="33">
        <f>ROUNDUP(Tabla95[[#This Row],[TOTAL (TITULARES + RESERVAS)]]*60%,0)</f>
        <v>170</v>
      </c>
      <c r="M122" s="33">
        <f>Tabla95[[#This Row],[TOTAL (TITULARES + RESERVAS)]]-Tabla95[[#This Row],[TURNO 1]]</f>
        <v>112</v>
      </c>
    </row>
    <row r="123" spans="1:13" x14ac:dyDescent="0.3">
      <c r="A123" s="25">
        <v>122</v>
      </c>
      <c r="B123" s="26" t="s">
        <v>673</v>
      </c>
      <c r="C123" s="26" t="s">
        <v>201</v>
      </c>
      <c r="D123" s="26" t="s">
        <v>671</v>
      </c>
      <c r="E123" s="26">
        <v>192</v>
      </c>
      <c r="F123" s="26">
        <v>118</v>
      </c>
      <c r="G123" s="26">
        <v>96</v>
      </c>
      <c r="H123" s="26">
        <v>96</v>
      </c>
      <c r="I123" s="20"/>
      <c r="J123" s="26">
        <f>ROUNDUP(Tabla95[[#This Row],[PRESELECCIÓN]]*9%,0)</f>
        <v>18</v>
      </c>
      <c r="K123" s="26">
        <f>Tabla95[[#This Row],[PRESELECCIÓN]]+Tabla95[[#This Row],[RESERVA (9%]]</f>
        <v>210</v>
      </c>
      <c r="L123" s="33">
        <f>ROUNDUP(Tabla95[[#This Row],[TOTAL (TITULARES + RESERVAS)]]*60%,0)</f>
        <v>126</v>
      </c>
      <c r="M123" s="33">
        <f>Tabla95[[#This Row],[TOTAL (TITULARES + RESERVAS)]]-Tabla95[[#This Row],[TURNO 1]]</f>
        <v>84</v>
      </c>
    </row>
    <row r="124" spans="1:13" ht="18" x14ac:dyDescent="0.3">
      <c r="A124" s="25">
        <v>123</v>
      </c>
      <c r="B124" s="26" t="s">
        <v>660</v>
      </c>
      <c r="C124" s="26" t="s">
        <v>202</v>
      </c>
      <c r="D124" s="26" t="s">
        <v>202</v>
      </c>
      <c r="E124" s="26">
        <v>290</v>
      </c>
      <c r="F124" s="26">
        <v>178</v>
      </c>
      <c r="G124" s="26">
        <v>145</v>
      </c>
      <c r="H124" s="26">
        <v>142</v>
      </c>
      <c r="I124" s="27">
        <v>3</v>
      </c>
      <c r="J124" s="26">
        <f>ROUNDUP(Tabla95[[#This Row],[PRESELECCIÓN]]*9%,0)</f>
        <v>27</v>
      </c>
      <c r="K124" s="26">
        <f>Tabla95[[#This Row],[PRESELECCIÓN]]+Tabla95[[#This Row],[RESERVA (9%]]</f>
        <v>317</v>
      </c>
      <c r="L124" s="33">
        <f>ROUNDUP(Tabla95[[#This Row],[TOTAL (TITULARES + RESERVAS)]]*60%,0)</f>
        <v>191</v>
      </c>
      <c r="M124" s="33">
        <f>Tabla95[[#This Row],[TOTAL (TITULARES + RESERVAS)]]-Tabla95[[#This Row],[TURNO 1]]</f>
        <v>126</v>
      </c>
    </row>
    <row r="125" spans="1:13" ht="18" x14ac:dyDescent="0.3">
      <c r="A125" s="25">
        <v>124</v>
      </c>
      <c r="B125" s="26" t="s">
        <v>660</v>
      </c>
      <c r="C125" s="26" t="s">
        <v>203</v>
      </c>
      <c r="D125" s="26" t="s">
        <v>203</v>
      </c>
      <c r="E125" s="26">
        <v>198</v>
      </c>
      <c r="F125" s="26">
        <v>123</v>
      </c>
      <c r="G125" s="26">
        <v>99</v>
      </c>
      <c r="H125" s="26">
        <v>97</v>
      </c>
      <c r="I125" s="27">
        <v>2</v>
      </c>
      <c r="J125" s="26">
        <f>ROUNDUP(Tabla95[[#This Row],[PRESELECCIÓN]]*9%,0)</f>
        <v>18</v>
      </c>
      <c r="K125" s="26">
        <f>Tabla95[[#This Row],[PRESELECCIÓN]]+Tabla95[[#This Row],[RESERVA (9%]]</f>
        <v>216</v>
      </c>
      <c r="L125" s="33">
        <f>ROUNDUP(Tabla95[[#This Row],[TOTAL (TITULARES + RESERVAS)]]*60%,0)</f>
        <v>130</v>
      </c>
      <c r="M125" s="33">
        <f>Tabla95[[#This Row],[TOTAL (TITULARES + RESERVAS)]]-Tabla95[[#This Row],[TURNO 1]]</f>
        <v>86</v>
      </c>
    </row>
    <row r="126" spans="1:13" ht="18" x14ac:dyDescent="0.3">
      <c r="A126" s="25">
        <v>125</v>
      </c>
      <c r="B126" s="26" t="s">
        <v>660</v>
      </c>
      <c r="C126" s="26" t="s">
        <v>204</v>
      </c>
      <c r="D126" s="26" t="s">
        <v>667</v>
      </c>
      <c r="E126" s="26">
        <v>158</v>
      </c>
      <c r="F126" s="26">
        <v>94</v>
      </c>
      <c r="G126" s="26">
        <v>79</v>
      </c>
      <c r="H126" s="26">
        <v>79</v>
      </c>
      <c r="I126" s="20"/>
      <c r="J126" s="26">
        <f>ROUNDUP(Tabla95[[#This Row],[PRESELECCIÓN]]*9%,0)</f>
        <v>15</v>
      </c>
      <c r="K126" s="26">
        <f>Tabla95[[#This Row],[PRESELECCIÓN]]+Tabla95[[#This Row],[RESERVA (9%]]</f>
        <v>173</v>
      </c>
      <c r="L126" s="33">
        <f>ROUNDUP(Tabla95[[#This Row],[TOTAL (TITULARES + RESERVAS)]]*60%,0)</f>
        <v>104</v>
      </c>
      <c r="M126" s="33">
        <f>Tabla95[[#This Row],[TOTAL (TITULARES + RESERVAS)]]-Tabla95[[#This Row],[TURNO 1]]</f>
        <v>69</v>
      </c>
    </row>
    <row r="127" spans="1:13" ht="18" x14ac:dyDescent="0.3">
      <c r="A127" s="25">
        <v>126</v>
      </c>
      <c r="B127" s="26" t="s">
        <v>660</v>
      </c>
      <c r="C127" s="26" t="s">
        <v>207</v>
      </c>
      <c r="D127" s="26" t="s">
        <v>665</v>
      </c>
      <c r="E127" s="26">
        <v>266</v>
      </c>
      <c r="F127" s="26">
        <v>164</v>
      </c>
      <c r="G127" s="26">
        <v>133</v>
      </c>
      <c r="H127" s="26">
        <v>129</v>
      </c>
      <c r="I127" s="27">
        <v>4</v>
      </c>
      <c r="J127" s="26">
        <f>ROUNDUP(Tabla95[[#This Row],[PRESELECCIÓN]]*9%,0)</f>
        <v>24</v>
      </c>
      <c r="K127" s="26">
        <f>Tabla95[[#This Row],[PRESELECCIÓN]]+Tabla95[[#This Row],[RESERVA (9%]]</f>
        <v>290</v>
      </c>
      <c r="L127" s="33">
        <f>ROUNDUP(Tabla95[[#This Row],[TOTAL (TITULARES + RESERVAS)]]*60%,0)</f>
        <v>174</v>
      </c>
      <c r="M127" s="33">
        <f>Tabla95[[#This Row],[TOTAL (TITULARES + RESERVAS)]]-Tabla95[[#This Row],[TURNO 1]]</f>
        <v>116</v>
      </c>
    </row>
    <row r="128" spans="1:13" ht="18" x14ac:dyDescent="0.3">
      <c r="A128" s="25">
        <v>127</v>
      </c>
      <c r="B128" s="26" t="s">
        <v>660</v>
      </c>
      <c r="C128" s="26" t="s">
        <v>209</v>
      </c>
      <c r="D128" s="26" t="s">
        <v>663</v>
      </c>
      <c r="E128" s="26">
        <v>600</v>
      </c>
      <c r="F128" s="26">
        <v>355</v>
      </c>
      <c r="G128" s="26">
        <v>300</v>
      </c>
      <c r="H128" s="26">
        <v>286</v>
      </c>
      <c r="I128" s="27">
        <v>14</v>
      </c>
      <c r="J128" s="26">
        <f>ROUNDUP(Tabla95[[#This Row],[PRESELECCIÓN]]*9%,0)</f>
        <v>54</v>
      </c>
      <c r="K128" s="26">
        <f>Tabla95[[#This Row],[PRESELECCIÓN]]+Tabla95[[#This Row],[RESERVA (9%]]</f>
        <v>654</v>
      </c>
      <c r="L128" s="33">
        <f>ROUNDUP(Tabla95[[#This Row],[TOTAL (TITULARES + RESERVAS)]]*60%,0)</f>
        <v>393</v>
      </c>
      <c r="M128" s="33">
        <f>Tabla95[[#This Row],[TOTAL (TITULARES + RESERVAS)]]-Tabla95[[#This Row],[TURNO 1]]</f>
        <v>261</v>
      </c>
    </row>
    <row r="129" spans="1:13" ht="18" x14ac:dyDescent="0.3">
      <c r="A129" s="25">
        <v>128</v>
      </c>
      <c r="B129" s="26" t="s">
        <v>660</v>
      </c>
      <c r="C129" s="26" t="s">
        <v>210</v>
      </c>
      <c r="D129" s="26" t="s">
        <v>26</v>
      </c>
      <c r="E129" s="26">
        <v>658</v>
      </c>
      <c r="F129" s="26">
        <v>397</v>
      </c>
      <c r="G129" s="26">
        <v>329</v>
      </c>
      <c r="H129" s="26">
        <v>318</v>
      </c>
      <c r="I129" s="27">
        <v>11</v>
      </c>
      <c r="J129" s="26">
        <f>ROUNDUP(Tabla95[[#This Row],[PRESELECCIÓN]]*9%,0)</f>
        <v>60</v>
      </c>
      <c r="K129" s="26">
        <f>Tabla95[[#This Row],[PRESELECCIÓN]]+Tabla95[[#This Row],[RESERVA (9%]]</f>
        <v>718</v>
      </c>
      <c r="L129" s="33">
        <f>ROUNDUP(Tabla95[[#This Row],[TOTAL (TITULARES + RESERVAS)]]*60%,0)</f>
        <v>431</v>
      </c>
      <c r="M129" s="33">
        <f>Tabla95[[#This Row],[TOTAL (TITULARES + RESERVAS)]]-Tabla95[[#This Row],[TURNO 1]]</f>
        <v>287</v>
      </c>
    </row>
    <row r="130" spans="1:13" ht="18" x14ac:dyDescent="0.3">
      <c r="A130" s="25">
        <v>129</v>
      </c>
      <c r="B130" s="26" t="s">
        <v>660</v>
      </c>
      <c r="C130" s="26" t="s">
        <v>212</v>
      </c>
      <c r="D130" s="26" t="s">
        <v>212</v>
      </c>
      <c r="E130" s="26">
        <v>378</v>
      </c>
      <c r="F130" s="26">
        <v>223</v>
      </c>
      <c r="G130" s="26">
        <v>189</v>
      </c>
      <c r="H130" s="26">
        <v>181</v>
      </c>
      <c r="I130" s="27">
        <v>8</v>
      </c>
      <c r="J130" s="26">
        <f>ROUNDUP(Tabla95[[#This Row],[PRESELECCIÓN]]*9%,0)</f>
        <v>35</v>
      </c>
      <c r="K130" s="26">
        <f>Tabla95[[#This Row],[PRESELECCIÓN]]+Tabla95[[#This Row],[RESERVA (9%]]</f>
        <v>413</v>
      </c>
      <c r="L130" s="33">
        <f>ROUNDUP(Tabla95[[#This Row],[TOTAL (TITULARES + RESERVAS)]]*60%,0)</f>
        <v>248</v>
      </c>
      <c r="M130" s="33">
        <f>Tabla95[[#This Row],[TOTAL (TITULARES + RESERVAS)]]-Tabla95[[#This Row],[TURNO 1]]</f>
        <v>165</v>
      </c>
    </row>
    <row r="131" spans="1:13" ht="18" x14ac:dyDescent="0.3">
      <c r="A131" s="25">
        <v>130</v>
      </c>
      <c r="B131" s="26" t="s">
        <v>647</v>
      </c>
      <c r="C131" s="26" t="s">
        <v>213</v>
      </c>
      <c r="D131" s="26" t="s">
        <v>213</v>
      </c>
      <c r="E131" s="26">
        <v>190</v>
      </c>
      <c r="F131" s="26">
        <v>113</v>
      </c>
      <c r="G131" s="26">
        <v>95</v>
      </c>
      <c r="H131" s="26">
        <v>95</v>
      </c>
      <c r="I131" s="20"/>
      <c r="J131" s="26">
        <f>ROUNDUP(Tabla95[[#This Row],[PRESELECCIÓN]]*9%,0)</f>
        <v>18</v>
      </c>
      <c r="K131" s="26">
        <f>Tabla95[[#This Row],[PRESELECCIÓN]]+Tabla95[[#This Row],[RESERVA (9%]]</f>
        <v>208</v>
      </c>
      <c r="L131" s="33">
        <f>ROUNDUP(Tabla95[[#This Row],[TOTAL (TITULARES + RESERVAS)]]*60%,0)</f>
        <v>125</v>
      </c>
      <c r="M131" s="33">
        <f>Tabla95[[#This Row],[TOTAL (TITULARES + RESERVAS)]]-Tabla95[[#This Row],[TURNO 1]]</f>
        <v>83</v>
      </c>
    </row>
    <row r="132" spans="1:13" ht="18" x14ac:dyDescent="0.3">
      <c r="A132" s="25">
        <v>131</v>
      </c>
      <c r="B132" s="26" t="s">
        <v>647</v>
      </c>
      <c r="C132" s="26" t="s">
        <v>214</v>
      </c>
      <c r="D132" s="26" t="s">
        <v>214</v>
      </c>
      <c r="E132" s="26">
        <v>356</v>
      </c>
      <c r="F132" s="26">
        <v>211</v>
      </c>
      <c r="G132" s="26">
        <v>178</v>
      </c>
      <c r="H132" s="26">
        <v>178</v>
      </c>
      <c r="I132" s="20"/>
      <c r="J132" s="26">
        <f>ROUNDUP(Tabla95[[#This Row],[PRESELECCIÓN]]*9%,0)</f>
        <v>33</v>
      </c>
      <c r="K132" s="26">
        <f>Tabla95[[#This Row],[PRESELECCIÓN]]+Tabla95[[#This Row],[RESERVA (9%]]</f>
        <v>389</v>
      </c>
      <c r="L132" s="33">
        <f>ROUNDUP(Tabla95[[#This Row],[TOTAL (TITULARES + RESERVAS)]]*60%,0)</f>
        <v>234</v>
      </c>
      <c r="M132" s="33">
        <f>Tabla95[[#This Row],[TOTAL (TITULARES + RESERVAS)]]-Tabla95[[#This Row],[TURNO 1]]</f>
        <v>155</v>
      </c>
    </row>
    <row r="133" spans="1:13" ht="18" x14ac:dyDescent="0.3">
      <c r="A133" s="25">
        <v>132</v>
      </c>
      <c r="B133" s="26" t="s">
        <v>647</v>
      </c>
      <c r="C133" s="26" t="s">
        <v>215</v>
      </c>
      <c r="D133" s="26" t="s">
        <v>656</v>
      </c>
      <c r="E133" s="26">
        <v>564</v>
      </c>
      <c r="F133" s="26">
        <v>327</v>
      </c>
      <c r="G133" s="26">
        <v>282</v>
      </c>
      <c r="H133" s="26">
        <v>280</v>
      </c>
      <c r="I133" s="27">
        <v>2</v>
      </c>
      <c r="J133" s="26">
        <f>ROUNDUP(Tabla95[[#This Row],[PRESELECCIÓN]]*9%,0)</f>
        <v>51</v>
      </c>
      <c r="K133" s="26">
        <f>Tabla95[[#This Row],[PRESELECCIÓN]]+Tabla95[[#This Row],[RESERVA (9%]]</f>
        <v>615</v>
      </c>
      <c r="L133" s="33">
        <f>ROUNDUP(Tabla95[[#This Row],[TOTAL (TITULARES + RESERVAS)]]*60%,0)</f>
        <v>369</v>
      </c>
      <c r="M133" s="33">
        <f>Tabla95[[#This Row],[TOTAL (TITULARES + RESERVAS)]]-Tabla95[[#This Row],[TURNO 1]]</f>
        <v>246</v>
      </c>
    </row>
    <row r="134" spans="1:13" ht="18" x14ac:dyDescent="0.3">
      <c r="A134" s="25">
        <v>133</v>
      </c>
      <c r="B134" s="26" t="s">
        <v>647</v>
      </c>
      <c r="C134" s="26" t="s">
        <v>216</v>
      </c>
      <c r="D134" s="26" t="s">
        <v>652</v>
      </c>
      <c r="E134" s="26">
        <v>474</v>
      </c>
      <c r="F134" s="26">
        <v>276</v>
      </c>
      <c r="G134" s="26">
        <v>237</v>
      </c>
      <c r="H134" s="26">
        <v>235</v>
      </c>
      <c r="I134" s="27">
        <v>2</v>
      </c>
      <c r="J134" s="26">
        <f>ROUNDUP(Tabla95[[#This Row],[PRESELECCIÓN]]*9%,0)</f>
        <v>43</v>
      </c>
      <c r="K134" s="26">
        <f>Tabla95[[#This Row],[PRESELECCIÓN]]+Tabla95[[#This Row],[RESERVA (9%]]</f>
        <v>517</v>
      </c>
      <c r="L134" s="33">
        <f>ROUNDUP(Tabla95[[#This Row],[TOTAL (TITULARES + RESERVAS)]]*60%,0)</f>
        <v>311</v>
      </c>
      <c r="M134" s="33">
        <f>Tabla95[[#This Row],[TOTAL (TITULARES + RESERVAS)]]-Tabla95[[#This Row],[TURNO 1]]</f>
        <v>206</v>
      </c>
    </row>
    <row r="135" spans="1:13" ht="18" x14ac:dyDescent="0.3">
      <c r="A135" s="25">
        <v>134</v>
      </c>
      <c r="B135" s="26" t="s">
        <v>647</v>
      </c>
      <c r="C135" s="26" t="s">
        <v>217</v>
      </c>
      <c r="D135" s="26" t="s">
        <v>652</v>
      </c>
      <c r="E135" s="26">
        <v>486</v>
      </c>
      <c r="F135" s="26">
        <v>280</v>
      </c>
      <c r="G135" s="26">
        <v>243</v>
      </c>
      <c r="H135" s="26">
        <v>238</v>
      </c>
      <c r="I135" s="27">
        <v>5</v>
      </c>
      <c r="J135" s="26">
        <f>ROUNDUP(Tabla95[[#This Row],[PRESELECCIÓN]]*9%,0)</f>
        <v>44</v>
      </c>
      <c r="K135" s="26">
        <f>Tabla95[[#This Row],[PRESELECCIÓN]]+Tabla95[[#This Row],[RESERVA (9%]]</f>
        <v>530</v>
      </c>
      <c r="L135" s="33">
        <f>ROUNDUP(Tabla95[[#This Row],[TOTAL (TITULARES + RESERVAS)]]*60%,0)</f>
        <v>318</v>
      </c>
      <c r="M135" s="33">
        <f>Tabla95[[#This Row],[TOTAL (TITULARES + RESERVAS)]]-Tabla95[[#This Row],[TURNO 1]]</f>
        <v>212</v>
      </c>
    </row>
    <row r="136" spans="1:13" ht="18" x14ac:dyDescent="0.3">
      <c r="A136" s="25">
        <v>135</v>
      </c>
      <c r="B136" s="26" t="s">
        <v>647</v>
      </c>
      <c r="C136" s="26" t="s">
        <v>218</v>
      </c>
      <c r="D136" s="26" t="s">
        <v>218</v>
      </c>
      <c r="E136" s="26">
        <v>256</v>
      </c>
      <c r="F136" s="26">
        <v>152</v>
      </c>
      <c r="G136" s="26">
        <v>128</v>
      </c>
      <c r="H136" s="26">
        <v>126</v>
      </c>
      <c r="I136" s="27">
        <v>2</v>
      </c>
      <c r="J136" s="26">
        <f>ROUNDUP(Tabla95[[#This Row],[PRESELECCIÓN]]*9%,0)</f>
        <v>24</v>
      </c>
      <c r="K136" s="26">
        <f>Tabla95[[#This Row],[PRESELECCIÓN]]+Tabla95[[#This Row],[RESERVA (9%]]</f>
        <v>280</v>
      </c>
      <c r="L136" s="33">
        <f>ROUNDUP(Tabla95[[#This Row],[TOTAL (TITULARES + RESERVAS)]]*60%,0)</f>
        <v>168</v>
      </c>
      <c r="M136" s="33">
        <f>Tabla95[[#This Row],[TOTAL (TITULARES + RESERVAS)]]-Tabla95[[#This Row],[TURNO 1]]</f>
        <v>112</v>
      </c>
    </row>
    <row r="137" spans="1:13" ht="18" x14ac:dyDescent="0.3">
      <c r="A137" s="25">
        <v>136</v>
      </c>
      <c r="B137" s="26" t="s">
        <v>647</v>
      </c>
      <c r="C137" s="26" t="s">
        <v>219</v>
      </c>
      <c r="D137" s="26" t="s">
        <v>649</v>
      </c>
      <c r="E137" s="26">
        <v>562</v>
      </c>
      <c r="F137" s="26">
        <v>338</v>
      </c>
      <c r="G137" s="26">
        <v>281</v>
      </c>
      <c r="H137" s="26">
        <v>271</v>
      </c>
      <c r="I137" s="27">
        <v>10</v>
      </c>
      <c r="J137" s="26">
        <f>ROUNDUP(Tabla95[[#This Row],[PRESELECCIÓN]]*9%,0)</f>
        <v>51</v>
      </c>
      <c r="K137" s="26">
        <f>Tabla95[[#This Row],[PRESELECCIÓN]]+Tabla95[[#This Row],[RESERVA (9%]]</f>
        <v>613</v>
      </c>
      <c r="L137" s="33">
        <f>ROUNDUP(Tabla95[[#This Row],[TOTAL (TITULARES + RESERVAS)]]*60%,0)</f>
        <v>368</v>
      </c>
      <c r="M137" s="33">
        <f>Tabla95[[#This Row],[TOTAL (TITULARES + RESERVAS)]]-Tabla95[[#This Row],[TURNO 1]]</f>
        <v>245</v>
      </c>
    </row>
    <row r="138" spans="1:13" ht="18" x14ac:dyDescent="0.3">
      <c r="A138" s="25">
        <v>137</v>
      </c>
      <c r="B138" s="26" t="s">
        <v>647</v>
      </c>
      <c r="C138" s="26" t="s">
        <v>220</v>
      </c>
      <c r="D138" s="26" t="s">
        <v>26</v>
      </c>
      <c r="E138" s="26">
        <v>626</v>
      </c>
      <c r="F138" s="26">
        <v>375</v>
      </c>
      <c r="G138" s="26">
        <v>313</v>
      </c>
      <c r="H138" s="26">
        <v>305</v>
      </c>
      <c r="I138" s="27">
        <v>8</v>
      </c>
      <c r="J138" s="26">
        <f>ROUNDUP(Tabla95[[#This Row],[PRESELECCIÓN]]*9%,0)</f>
        <v>57</v>
      </c>
      <c r="K138" s="26">
        <f>Tabla95[[#This Row],[PRESELECCIÓN]]+Tabla95[[#This Row],[RESERVA (9%]]</f>
        <v>683</v>
      </c>
      <c r="L138" s="33">
        <f>ROUNDUP(Tabla95[[#This Row],[TOTAL (TITULARES + RESERVAS)]]*60%,0)</f>
        <v>410</v>
      </c>
      <c r="M138" s="33">
        <f>Tabla95[[#This Row],[TOTAL (TITULARES + RESERVAS)]]-Tabla95[[#This Row],[TURNO 1]]</f>
        <v>273</v>
      </c>
    </row>
    <row r="139" spans="1:13" x14ac:dyDescent="0.3">
      <c r="A139" s="25">
        <v>138</v>
      </c>
      <c r="B139" s="26" t="s">
        <v>637</v>
      </c>
      <c r="C139" s="26" t="s">
        <v>221</v>
      </c>
      <c r="D139" s="26" t="s">
        <v>115</v>
      </c>
      <c r="E139" s="26">
        <v>556</v>
      </c>
      <c r="F139" s="26">
        <v>334</v>
      </c>
      <c r="G139" s="26">
        <v>278</v>
      </c>
      <c r="H139" s="26">
        <v>271</v>
      </c>
      <c r="I139" s="27">
        <v>7</v>
      </c>
      <c r="J139" s="26">
        <f>ROUNDUP(Tabla95[[#This Row],[PRESELECCIÓN]]*9%,0)</f>
        <v>51</v>
      </c>
      <c r="K139" s="26">
        <f>Tabla95[[#This Row],[PRESELECCIÓN]]+Tabla95[[#This Row],[RESERVA (9%]]</f>
        <v>607</v>
      </c>
      <c r="L139" s="33">
        <f>ROUNDUP(Tabla95[[#This Row],[TOTAL (TITULARES + RESERVAS)]]*60%,0)</f>
        <v>365</v>
      </c>
      <c r="M139" s="33">
        <f>Tabla95[[#This Row],[TOTAL (TITULARES + RESERVAS)]]-Tabla95[[#This Row],[TURNO 1]]</f>
        <v>242</v>
      </c>
    </row>
    <row r="140" spans="1:13" x14ac:dyDescent="0.3">
      <c r="A140" s="25">
        <v>139</v>
      </c>
      <c r="B140" s="26" t="s">
        <v>637</v>
      </c>
      <c r="C140" s="26" t="s">
        <v>223</v>
      </c>
      <c r="D140" s="26" t="s">
        <v>115</v>
      </c>
      <c r="E140" s="26">
        <v>580</v>
      </c>
      <c r="F140" s="26">
        <v>348</v>
      </c>
      <c r="G140" s="26">
        <v>290</v>
      </c>
      <c r="H140" s="26">
        <v>283</v>
      </c>
      <c r="I140" s="27">
        <v>7</v>
      </c>
      <c r="J140" s="26">
        <f>ROUNDUP(Tabla95[[#This Row],[PRESELECCIÓN]]*9%,0)</f>
        <v>53</v>
      </c>
      <c r="K140" s="26">
        <f>Tabla95[[#This Row],[PRESELECCIÓN]]+Tabla95[[#This Row],[RESERVA (9%]]</f>
        <v>633</v>
      </c>
      <c r="L140" s="33">
        <f>ROUNDUP(Tabla95[[#This Row],[TOTAL (TITULARES + RESERVAS)]]*60%,0)</f>
        <v>380</v>
      </c>
      <c r="M140" s="33">
        <f>Tabla95[[#This Row],[TOTAL (TITULARES + RESERVAS)]]-Tabla95[[#This Row],[TURNO 1]]</f>
        <v>253</v>
      </c>
    </row>
    <row r="141" spans="1:13" x14ac:dyDescent="0.3">
      <c r="A141" s="25">
        <v>140</v>
      </c>
      <c r="B141" s="26" t="s">
        <v>637</v>
      </c>
      <c r="C141" s="26" t="s">
        <v>224</v>
      </c>
      <c r="D141" s="26" t="s">
        <v>115</v>
      </c>
      <c r="E141" s="26">
        <v>566</v>
      </c>
      <c r="F141" s="26">
        <v>340</v>
      </c>
      <c r="G141" s="26">
        <v>283</v>
      </c>
      <c r="H141" s="26">
        <v>277</v>
      </c>
      <c r="I141" s="27">
        <v>6</v>
      </c>
      <c r="J141" s="26">
        <f>ROUNDUP(Tabla95[[#This Row],[PRESELECCIÓN]]*9%,0)</f>
        <v>51</v>
      </c>
      <c r="K141" s="26">
        <f>Tabla95[[#This Row],[PRESELECCIÓN]]+Tabla95[[#This Row],[RESERVA (9%]]</f>
        <v>617</v>
      </c>
      <c r="L141" s="33">
        <f>ROUNDUP(Tabla95[[#This Row],[TOTAL (TITULARES + RESERVAS)]]*60%,0)</f>
        <v>371</v>
      </c>
      <c r="M141" s="33">
        <f>Tabla95[[#This Row],[TOTAL (TITULARES + RESERVAS)]]-Tabla95[[#This Row],[TURNO 1]]</f>
        <v>246</v>
      </c>
    </row>
    <row r="142" spans="1:13" x14ac:dyDescent="0.3">
      <c r="A142" s="25">
        <v>141</v>
      </c>
      <c r="B142" s="26" t="s">
        <v>637</v>
      </c>
      <c r="C142" s="26" t="s">
        <v>225</v>
      </c>
      <c r="D142" s="26" t="s">
        <v>115</v>
      </c>
      <c r="E142" s="26">
        <v>488</v>
      </c>
      <c r="F142" s="26">
        <v>296</v>
      </c>
      <c r="G142" s="26">
        <v>244</v>
      </c>
      <c r="H142" s="26">
        <v>241</v>
      </c>
      <c r="I142" s="27">
        <v>3</v>
      </c>
      <c r="J142" s="26">
        <f>ROUNDUP(Tabla95[[#This Row],[PRESELECCIÓN]]*9%,0)</f>
        <v>44</v>
      </c>
      <c r="K142" s="26">
        <f>Tabla95[[#This Row],[PRESELECCIÓN]]+Tabla95[[#This Row],[RESERVA (9%]]</f>
        <v>532</v>
      </c>
      <c r="L142" s="33">
        <f>ROUNDUP(Tabla95[[#This Row],[TOTAL (TITULARES + RESERVAS)]]*60%,0)</f>
        <v>320</v>
      </c>
      <c r="M142" s="33">
        <f>Tabla95[[#This Row],[TOTAL (TITULARES + RESERVAS)]]-Tabla95[[#This Row],[TURNO 1]]</f>
        <v>212</v>
      </c>
    </row>
    <row r="143" spans="1:13" x14ac:dyDescent="0.3">
      <c r="A143" s="25">
        <v>142</v>
      </c>
      <c r="B143" s="26" t="s">
        <v>637</v>
      </c>
      <c r="C143" s="26" t="s">
        <v>227</v>
      </c>
      <c r="D143" s="26" t="s">
        <v>227</v>
      </c>
      <c r="E143" s="26">
        <v>254</v>
      </c>
      <c r="F143" s="26">
        <v>155</v>
      </c>
      <c r="G143" s="26">
        <v>127</v>
      </c>
      <c r="H143" s="26">
        <v>126</v>
      </c>
      <c r="I143" s="27">
        <v>1</v>
      </c>
      <c r="J143" s="26">
        <f>ROUNDUP(Tabla95[[#This Row],[PRESELECCIÓN]]*9%,0)</f>
        <v>23</v>
      </c>
      <c r="K143" s="26">
        <f>Tabla95[[#This Row],[PRESELECCIÓN]]+Tabla95[[#This Row],[RESERVA (9%]]</f>
        <v>277</v>
      </c>
      <c r="L143" s="33">
        <f>ROUNDUP(Tabla95[[#This Row],[TOTAL (TITULARES + RESERVAS)]]*60%,0)</f>
        <v>167</v>
      </c>
      <c r="M143" s="33">
        <f>Tabla95[[#This Row],[TOTAL (TITULARES + RESERVAS)]]-Tabla95[[#This Row],[TURNO 1]]</f>
        <v>110</v>
      </c>
    </row>
    <row r="144" spans="1:13" x14ac:dyDescent="0.3">
      <c r="A144" s="25">
        <v>143</v>
      </c>
      <c r="B144" s="26" t="s">
        <v>637</v>
      </c>
      <c r="C144" s="26" t="s">
        <v>228</v>
      </c>
      <c r="D144" s="26" t="s">
        <v>637</v>
      </c>
      <c r="E144" s="26">
        <v>450</v>
      </c>
      <c r="F144" s="26">
        <v>270</v>
      </c>
      <c r="G144" s="26">
        <v>225</v>
      </c>
      <c r="H144" s="26">
        <v>223</v>
      </c>
      <c r="I144" s="27">
        <v>2</v>
      </c>
      <c r="J144" s="26">
        <f>ROUNDUP(Tabla95[[#This Row],[PRESELECCIÓN]]*9%,0)</f>
        <v>41</v>
      </c>
      <c r="K144" s="26">
        <f>Tabla95[[#This Row],[PRESELECCIÓN]]+Tabla95[[#This Row],[RESERVA (9%]]</f>
        <v>491</v>
      </c>
      <c r="L144" s="33">
        <f>ROUNDUP(Tabla95[[#This Row],[TOTAL (TITULARES + RESERVAS)]]*60%,0)</f>
        <v>295</v>
      </c>
      <c r="M144" s="33">
        <f>Tabla95[[#This Row],[TOTAL (TITULARES + RESERVAS)]]-Tabla95[[#This Row],[TURNO 1]]</f>
        <v>196</v>
      </c>
    </row>
    <row r="145" spans="1:13" x14ac:dyDescent="0.3">
      <c r="A145" s="25">
        <v>144</v>
      </c>
      <c r="B145" s="26" t="s">
        <v>637</v>
      </c>
      <c r="C145" s="26" t="s">
        <v>229</v>
      </c>
      <c r="D145" s="26" t="s">
        <v>637</v>
      </c>
      <c r="E145" s="26">
        <v>466</v>
      </c>
      <c r="F145" s="26">
        <v>276</v>
      </c>
      <c r="G145" s="26">
        <v>233</v>
      </c>
      <c r="H145" s="26">
        <v>232</v>
      </c>
      <c r="I145" s="27">
        <v>1</v>
      </c>
      <c r="J145" s="26">
        <f>ROUNDUP(Tabla95[[#This Row],[PRESELECCIÓN]]*9%,0)</f>
        <v>42</v>
      </c>
      <c r="K145" s="26">
        <f>Tabla95[[#This Row],[PRESELECCIÓN]]+Tabla95[[#This Row],[RESERVA (9%]]</f>
        <v>508</v>
      </c>
      <c r="L145" s="33">
        <f>ROUNDUP(Tabla95[[#This Row],[TOTAL (TITULARES + RESERVAS)]]*60%,0)</f>
        <v>305</v>
      </c>
      <c r="M145" s="33">
        <f>Tabla95[[#This Row],[TOTAL (TITULARES + RESERVAS)]]-Tabla95[[#This Row],[TURNO 1]]</f>
        <v>203</v>
      </c>
    </row>
    <row r="146" spans="1:13" x14ac:dyDescent="0.3">
      <c r="A146" s="25">
        <v>145</v>
      </c>
      <c r="B146" s="26" t="s">
        <v>637</v>
      </c>
      <c r="C146" s="26" t="s">
        <v>232</v>
      </c>
      <c r="D146" s="26" t="s">
        <v>637</v>
      </c>
      <c r="E146" s="26">
        <v>400</v>
      </c>
      <c r="F146" s="26">
        <v>231</v>
      </c>
      <c r="G146" s="26">
        <v>200</v>
      </c>
      <c r="H146" s="26">
        <v>197</v>
      </c>
      <c r="I146" s="27">
        <v>3</v>
      </c>
      <c r="J146" s="26">
        <f>ROUNDUP(Tabla95[[#This Row],[PRESELECCIÓN]]*9%,0)</f>
        <v>36</v>
      </c>
      <c r="K146" s="26">
        <f>Tabla95[[#This Row],[PRESELECCIÓN]]+Tabla95[[#This Row],[RESERVA (9%]]</f>
        <v>436</v>
      </c>
      <c r="L146" s="33">
        <f>ROUNDUP(Tabla95[[#This Row],[TOTAL (TITULARES + RESERVAS)]]*60%,0)</f>
        <v>262</v>
      </c>
      <c r="M146" s="33">
        <f>Tabla95[[#This Row],[TOTAL (TITULARES + RESERVAS)]]-Tabla95[[#This Row],[TURNO 1]]</f>
        <v>174</v>
      </c>
    </row>
    <row r="147" spans="1:13" x14ac:dyDescent="0.3">
      <c r="A147" s="25">
        <v>146</v>
      </c>
      <c r="B147" s="26" t="s">
        <v>620</v>
      </c>
      <c r="C147" s="26" t="s">
        <v>233</v>
      </c>
      <c r="D147" s="26" t="s">
        <v>233</v>
      </c>
      <c r="E147" s="26">
        <v>264</v>
      </c>
      <c r="F147" s="26">
        <v>158</v>
      </c>
      <c r="G147" s="26">
        <v>132</v>
      </c>
      <c r="H147" s="26">
        <v>129</v>
      </c>
      <c r="I147" s="27">
        <v>3</v>
      </c>
      <c r="J147" s="26">
        <f>ROUNDUP(Tabla95[[#This Row],[PRESELECCIÓN]]*9%,0)</f>
        <v>24</v>
      </c>
      <c r="K147" s="26">
        <f>Tabla95[[#This Row],[PRESELECCIÓN]]+Tabla95[[#This Row],[RESERVA (9%]]</f>
        <v>288</v>
      </c>
      <c r="L147" s="33">
        <f>ROUNDUP(Tabla95[[#This Row],[TOTAL (TITULARES + RESERVAS)]]*60%,0)</f>
        <v>173</v>
      </c>
      <c r="M147" s="33">
        <f>Tabla95[[#This Row],[TOTAL (TITULARES + RESERVAS)]]-Tabla95[[#This Row],[TURNO 1]]</f>
        <v>115</v>
      </c>
    </row>
    <row r="148" spans="1:13" x14ac:dyDescent="0.3">
      <c r="A148" s="25">
        <v>147</v>
      </c>
      <c r="B148" s="26" t="s">
        <v>620</v>
      </c>
      <c r="C148" s="26" t="s">
        <v>234</v>
      </c>
      <c r="D148" s="26" t="s">
        <v>234</v>
      </c>
      <c r="E148" s="26">
        <v>306</v>
      </c>
      <c r="F148" s="26">
        <v>181</v>
      </c>
      <c r="G148" s="26">
        <v>153</v>
      </c>
      <c r="H148" s="26">
        <v>150</v>
      </c>
      <c r="I148" s="27">
        <v>3</v>
      </c>
      <c r="J148" s="26">
        <f>ROUNDUP(Tabla95[[#This Row],[PRESELECCIÓN]]*9%,0)</f>
        <v>28</v>
      </c>
      <c r="K148" s="26">
        <f>Tabla95[[#This Row],[PRESELECCIÓN]]+Tabla95[[#This Row],[RESERVA (9%]]</f>
        <v>334</v>
      </c>
      <c r="L148" s="33">
        <f>ROUNDUP(Tabla95[[#This Row],[TOTAL (TITULARES + RESERVAS)]]*60%,0)</f>
        <v>201</v>
      </c>
      <c r="M148" s="33">
        <f>Tabla95[[#This Row],[TOTAL (TITULARES + RESERVAS)]]-Tabla95[[#This Row],[TURNO 1]]</f>
        <v>133</v>
      </c>
    </row>
    <row r="149" spans="1:13" x14ac:dyDescent="0.3">
      <c r="A149" s="25">
        <v>148</v>
      </c>
      <c r="B149" s="26" t="s">
        <v>620</v>
      </c>
      <c r="C149" s="26" t="s">
        <v>235</v>
      </c>
      <c r="D149" s="26" t="s">
        <v>235</v>
      </c>
      <c r="E149" s="26">
        <v>104</v>
      </c>
      <c r="F149" s="26">
        <v>63</v>
      </c>
      <c r="G149" s="26">
        <v>52</v>
      </c>
      <c r="H149" s="26">
        <v>52</v>
      </c>
      <c r="I149" s="28"/>
      <c r="J149" s="26">
        <f>ROUNDUP(Tabla95[[#This Row],[PRESELECCIÓN]]*9%,0)</f>
        <v>10</v>
      </c>
      <c r="K149" s="26">
        <f>Tabla95[[#This Row],[PRESELECCIÓN]]+Tabla95[[#This Row],[RESERVA (9%]]</f>
        <v>114</v>
      </c>
      <c r="L149" s="33">
        <f>ROUNDUP(Tabla95[[#This Row],[TOTAL (TITULARES + RESERVAS)]]*60%,0)</f>
        <v>69</v>
      </c>
      <c r="M149" s="33">
        <f>Tabla95[[#This Row],[TOTAL (TITULARES + RESERVAS)]]-Tabla95[[#This Row],[TURNO 1]]</f>
        <v>45</v>
      </c>
    </row>
    <row r="150" spans="1:13" ht="18" x14ac:dyDescent="0.3">
      <c r="A150" s="25">
        <v>149</v>
      </c>
      <c r="B150" s="26" t="s">
        <v>620</v>
      </c>
      <c r="C150" s="26" t="s">
        <v>236</v>
      </c>
      <c r="D150" s="26" t="s">
        <v>629</v>
      </c>
      <c r="E150" s="26">
        <v>350</v>
      </c>
      <c r="F150" s="26">
        <v>212</v>
      </c>
      <c r="G150" s="26">
        <v>175</v>
      </c>
      <c r="H150" s="26">
        <v>166</v>
      </c>
      <c r="I150" s="27">
        <v>9</v>
      </c>
      <c r="J150" s="26">
        <f>ROUNDUP(Tabla95[[#This Row],[PRESELECCIÓN]]*9%,0)</f>
        <v>32</v>
      </c>
      <c r="K150" s="26">
        <f>Tabla95[[#This Row],[PRESELECCIÓN]]+Tabla95[[#This Row],[RESERVA (9%]]</f>
        <v>382</v>
      </c>
      <c r="L150" s="33">
        <f>ROUNDUP(Tabla95[[#This Row],[TOTAL (TITULARES + RESERVAS)]]*60%,0)</f>
        <v>230</v>
      </c>
      <c r="M150" s="33">
        <f>Tabla95[[#This Row],[TOTAL (TITULARES + RESERVAS)]]-Tabla95[[#This Row],[TURNO 1]]</f>
        <v>152</v>
      </c>
    </row>
    <row r="151" spans="1:13" ht="18" x14ac:dyDescent="0.3">
      <c r="A151" s="25">
        <v>150</v>
      </c>
      <c r="B151" s="26" t="s">
        <v>620</v>
      </c>
      <c r="C151" s="26" t="s">
        <v>237</v>
      </c>
      <c r="D151" s="26" t="s">
        <v>629</v>
      </c>
      <c r="E151" s="26">
        <v>456</v>
      </c>
      <c r="F151" s="26">
        <v>276</v>
      </c>
      <c r="G151" s="26">
        <v>228</v>
      </c>
      <c r="H151" s="26">
        <v>223</v>
      </c>
      <c r="I151" s="27">
        <v>5</v>
      </c>
      <c r="J151" s="26">
        <f>ROUNDUP(Tabla95[[#This Row],[PRESELECCIÓN]]*9%,0)</f>
        <v>42</v>
      </c>
      <c r="K151" s="26">
        <f>Tabla95[[#This Row],[PRESELECCIÓN]]+Tabla95[[#This Row],[RESERVA (9%]]</f>
        <v>498</v>
      </c>
      <c r="L151" s="33">
        <f>ROUNDUP(Tabla95[[#This Row],[TOTAL (TITULARES + RESERVAS)]]*60%,0)</f>
        <v>299</v>
      </c>
      <c r="M151" s="33">
        <f>Tabla95[[#This Row],[TOTAL (TITULARES + RESERVAS)]]-Tabla95[[#This Row],[TURNO 1]]</f>
        <v>199</v>
      </c>
    </row>
    <row r="152" spans="1:13" x14ac:dyDescent="0.3">
      <c r="A152" s="25">
        <v>151</v>
      </c>
      <c r="B152" s="26" t="s">
        <v>620</v>
      </c>
      <c r="C152" s="26" t="s">
        <v>239</v>
      </c>
      <c r="D152" s="26" t="s">
        <v>624</v>
      </c>
      <c r="E152" s="26">
        <v>408</v>
      </c>
      <c r="F152" s="26">
        <v>245</v>
      </c>
      <c r="G152" s="26">
        <v>204</v>
      </c>
      <c r="H152" s="26">
        <v>197</v>
      </c>
      <c r="I152" s="27">
        <v>7</v>
      </c>
      <c r="J152" s="26">
        <f>ROUNDUP(Tabla95[[#This Row],[PRESELECCIÓN]]*9%,0)</f>
        <v>37</v>
      </c>
      <c r="K152" s="26">
        <f>Tabla95[[#This Row],[PRESELECCIÓN]]+Tabla95[[#This Row],[RESERVA (9%]]</f>
        <v>445</v>
      </c>
      <c r="L152" s="33">
        <f>ROUNDUP(Tabla95[[#This Row],[TOTAL (TITULARES + RESERVAS)]]*60%,0)</f>
        <v>267</v>
      </c>
      <c r="M152" s="33">
        <f>Tabla95[[#This Row],[TOTAL (TITULARES + RESERVAS)]]-Tabla95[[#This Row],[TURNO 1]]</f>
        <v>178</v>
      </c>
    </row>
    <row r="153" spans="1:13" x14ac:dyDescent="0.3">
      <c r="A153" s="25">
        <v>152</v>
      </c>
      <c r="B153" s="26" t="s">
        <v>620</v>
      </c>
      <c r="C153" s="26" t="s">
        <v>240</v>
      </c>
      <c r="D153" s="26" t="s">
        <v>624</v>
      </c>
      <c r="E153" s="26">
        <v>504</v>
      </c>
      <c r="F153" s="26">
        <v>303</v>
      </c>
      <c r="G153" s="26">
        <v>252</v>
      </c>
      <c r="H153" s="26">
        <v>246</v>
      </c>
      <c r="I153" s="27">
        <v>6</v>
      </c>
      <c r="J153" s="26">
        <f>ROUNDUP(Tabla95[[#This Row],[PRESELECCIÓN]]*9%,0)</f>
        <v>46</v>
      </c>
      <c r="K153" s="26">
        <f>Tabla95[[#This Row],[PRESELECCIÓN]]+Tabla95[[#This Row],[RESERVA (9%]]</f>
        <v>550</v>
      </c>
      <c r="L153" s="33">
        <f>ROUNDUP(Tabla95[[#This Row],[TOTAL (TITULARES + RESERVAS)]]*60%,0)</f>
        <v>330</v>
      </c>
      <c r="M153" s="33">
        <f>Tabla95[[#This Row],[TOTAL (TITULARES + RESERVAS)]]-Tabla95[[#This Row],[TURNO 1]]</f>
        <v>220</v>
      </c>
    </row>
    <row r="154" spans="1:13" ht="18" x14ac:dyDescent="0.3">
      <c r="A154" s="25">
        <v>153</v>
      </c>
      <c r="B154" s="26" t="s">
        <v>620</v>
      </c>
      <c r="C154" s="26" t="s">
        <v>241</v>
      </c>
      <c r="D154" s="26" t="s">
        <v>618</v>
      </c>
      <c r="E154" s="26">
        <v>512</v>
      </c>
      <c r="F154" s="26">
        <v>308</v>
      </c>
      <c r="G154" s="26">
        <v>256</v>
      </c>
      <c r="H154" s="26">
        <v>249</v>
      </c>
      <c r="I154" s="27">
        <v>7</v>
      </c>
      <c r="J154" s="26">
        <f>ROUNDUP(Tabla95[[#This Row],[PRESELECCIÓN]]*9%,0)</f>
        <v>47</v>
      </c>
      <c r="K154" s="26">
        <f>Tabla95[[#This Row],[PRESELECCIÓN]]+Tabla95[[#This Row],[RESERVA (9%]]</f>
        <v>559</v>
      </c>
      <c r="L154" s="33">
        <f>ROUNDUP(Tabla95[[#This Row],[TOTAL (TITULARES + RESERVAS)]]*60%,0)</f>
        <v>336</v>
      </c>
      <c r="M154" s="33">
        <f>Tabla95[[#This Row],[TOTAL (TITULARES + RESERVAS)]]-Tabla95[[#This Row],[TURNO 1]]</f>
        <v>223</v>
      </c>
    </row>
    <row r="155" spans="1:13" ht="18" x14ac:dyDescent="0.3">
      <c r="A155" s="25">
        <v>154</v>
      </c>
      <c r="B155" s="26" t="s">
        <v>620</v>
      </c>
      <c r="C155" s="26" t="s">
        <v>243</v>
      </c>
      <c r="D155" s="26" t="s">
        <v>618</v>
      </c>
      <c r="E155" s="26">
        <v>438</v>
      </c>
      <c r="F155" s="26">
        <v>265</v>
      </c>
      <c r="G155" s="26">
        <v>219</v>
      </c>
      <c r="H155" s="26">
        <v>214</v>
      </c>
      <c r="I155" s="27">
        <v>5</v>
      </c>
      <c r="J155" s="26">
        <f>ROUNDUP(Tabla95[[#This Row],[PRESELECCIÓN]]*9%,0)</f>
        <v>40</v>
      </c>
      <c r="K155" s="26">
        <f>Tabla95[[#This Row],[PRESELECCIÓN]]+Tabla95[[#This Row],[RESERVA (9%]]</f>
        <v>478</v>
      </c>
      <c r="L155" s="33">
        <f>ROUNDUP(Tabla95[[#This Row],[TOTAL (TITULARES + RESERVAS)]]*60%,0)</f>
        <v>287</v>
      </c>
      <c r="M155" s="33">
        <f>Tabla95[[#This Row],[TOTAL (TITULARES + RESERVAS)]]-Tabla95[[#This Row],[TURNO 1]]</f>
        <v>191</v>
      </c>
    </row>
    <row r="156" spans="1:13" x14ac:dyDescent="0.3">
      <c r="A156" s="25">
        <v>155</v>
      </c>
      <c r="B156" s="26" t="s">
        <v>605</v>
      </c>
      <c r="C156" s="26" t="s">
        <v>244</v>
      </c>
      <c r="D156" s="26" t="s">
        <v>244</v>
      </c>
      <c r="E156" s="26">
        <v>414</v>
      </c>
      <c r="F156" s="26">
        <v>250</v>
      </c>
      <c r="G156" s="26">
        <v>207</v>
      </c>
      <c r="H156" s="26">
        <v>195</v>
      </c>
      <c r="I156" s="27">
        <v>12</v>
      </c>
      <c r="J156" s="26">
        <f>ROUNDUP(Tabla95[[#This Row],[PRESELECCIÓN]]*9%,0)</f>
        <v>38</v>
      </c>
      <c r="K156" s="26">
        <f>Tabla95[[#This Row],[PRESELECCIÓN]]+Tabla95[[#This Row],[RESERVA (9%]]</f>
        <v>452</v>
      </c>
      <c r="L156" s="33">
        <f>ROUNDUP(Tabla95[[#This Row],[TOTAL (TITULARES + RESERVAS)]]*60%,0)</f>
        <v>272</v>
      </c>
      <c r="M156" s="33">
        <f>Tabla95[[#This Row],[TOTAL (TITULARES + RESERVAS)]]-Tabla95[[#This Row],[TURNO 1]]</f>
        <v>180</v>
      </c>
    </row>
    <row r="157" spans="1:13" x14ac:dyDescent="0.3">
      <c r="A157" s="25">
        <v>156</v>
      </c>
      <c r="B157" s="26" t="s">
        <v>605</v>
      </c>
      <c r="C157" s="26" t="s">
        <v>245</v>
      </c>
      <c r="D157" s="26" t="s">
        <v>612</v>
      </c>
      <c r="E157" s="26">
        <v>432</v>
      </c>
      <c r="F157" s="26">
        <v>260</v>
      </c>
      <c r="G157" s="26">
        <v>216</v>
      </c>
      <c r="H157" s="26">
        <v>201</v>
      </c>
      <c r="I157" s="27">
        <v>15</v>
      </c>
      <c r="J157" s="26">
        <f>ROUNDUP(Tabla95[[#This Row],[PRESELECCIÓN]]*9%,0)</f>
        <v>39</v>
      </c>
      <c r="K157" s="26">
        <f>Tabla95[[#This Row],[PRESELECCIÓN]]+Tabla95[[#This Row],[RESERVA (9%]]</f>
        <v>471</v>
      </c>
      <c r="L157" s="33">
        <f>ROUNDUP(Tabla95[[#This Row],[TOTAL (TITULARES + RESERVAS)]]*60%,0)</f>
        <v>283</v>
      </c>
      <c r="M157" s="33">
        <f>Tabla95[[#This Row],[TOTAL (TITULARES + RESERVAS)]]-Tabla95[[#This Row],[TURNO 1]]</f>
        <v>188</v>
      </c>
    </row>
    <row r="158" spans="1:13" x14ac:dyDescent="0.3">
      <c r="A158" s="25">
        <v>157</v>
      </c>
      <c r="B158" s="26" t="s">
        <v>605</v>
      </c>
      <c r="C158" s="26" t="s">
        <v>247</v>
      </c>
      <c r="D158" s="26" t="s">
        <v>612</v>
      </c>
      <c r="E158" s="26">
        <v>398</v>
      </c>
      <c r="F158" s="26">
        <v>240</v>
      </c>
      <c r="G158" s="26">
        <v>199</v>
      </c>
      <c r="H158" s="26">
        <v>192</v>
      </c>
      <c r="I158" s="27">
        <v>7</v>
      </c>
      <c r="J158" s="26">
        <f>ROUNDUP(Tabla95[[#This Row],[PRESELECCIÓN]]*9%,0)</f>
        <v>36</v>
      </c>
      <c r="K158" s="26">
        <f>Tabla95[[#This Row],[PRESELECCIÓN]]+Tabla95[[#This Row],[RESERVA (9%]]</f>
        <v>434</v>
      </c>
      <c r="L158" s="33">
        <f>ROUNDUP(Tabla95[[#This Row],[TOTAL (TITULARES + RESERVAS)]]*60%,0)</f>
        <v>261</v>
      </c>
      <c r="M158" s="33">
        <f>Tabla95[[#This Row],[TOTAL (TITULARES + RESERVAS)]]-Tabla95[[#This Row],[TURNO 1]]</f>
        <v>173</v>
      </c>
    </row>
    <row r="159" spans="1:13" x14ac:dyDescent="0.3">
      <c r="A159" s="25">
        <v>158</v>
      </c>
      <c r="B159" s="26" t="s">
        <v>605</v>
      </c>
      <c r="C159" s="26" t="s">
        <v>89</v>
      </c>
      <c r="D159" s="26" t="s">
        <v>89</v>
      </c>
      <c r="E159" s="26">
        <v>306</v>
      </c>
      <c r="F159" s="26">
        <v>184</v>
      </c>
      <c r="G159" s="26">
        <v>153</v>
      </c>
      <c r="H159" s="26">
        <v>150</v>
      </c>
      <c r="I159" s="27">
        <v>3</v>
      </c>
      <c r="J159" s="26">
        <f>ROUNDUP(Tabla95[[#This Row],[PRESELECCIÓN]]*9%,0)</f>
        <v>28</v>
      </c>
      <c r="K159" s="26">
        <f>Tabla95[[#This Row],[PRESELECCIÓN]]+Tabla95[[#This Row],[RESERVA (9%]]</f>
        <v>334</v>
      </c>
      <c r="L159" s="33">
        <f>ROUNDUP(Tabla95[[#This Row],[TOTAL (TITULARES + RESERVAS)]]*60%,0)</f>
        <v>201</v>
      </c>
      <c r="M159" s="33">
        <f>Tabla95[[#This Row],[TOTAL (TITULARES + RESERVAS)]]-Tabla95[[#This Row],[TURNO 1]]</f>
        <v>133</v>
      </c>
    </row>
    <row r="160" spans="1:13" x14ac:dyDescent="0.3">
      <c r="A160" s="25">
        <v>159</v>
      </c>
      <c r="B160" s="26" t="s">
        <v>605</v>
      </c>
      <c r="C160" s="26" t="s">
        <v>248</v>
      </c>
      <c r="D160" s="26" t="s">
        <v>603</v>
      </c>
      <c r="E160" s="26">
        <v>368</v>
      </c>
      <c r="F160" s="26">
        <v>225</v>
      </c>
      <c r="G160" s="26">
        <v>184</v>
      </c>
      <c r="H160" s="26">
        <v>180</v>
      </c>
      <c r="I160" s="27">
        <v>4</v>
      </c>
      <c r="J160" s="26">
        <f>ROUNDUP(Tabla95[[#This Row],[PRESELECCIÓN]]*9%,0)</f>
        <v>34</v>
      </c>
      <c r="K160" s="26">
        <f>Tabla95[[#This Row],[PRESELECCIÓN]]+Tabla95[[#This Row],[RESERVA (9%]]</f>
        <v>402</v>
      </c>
      <c r="L160" s="33">
        <f>ROUNDUP(Tabla95[[#This Row],[TOTAL (TITULARES + RESERVAS)]]*60%,0)</f>
        <v>242</v>
      </c>
      <c r="M160" s="33">
        <f>Tabla95[[#This Row],[TOTAL (TITULARES + RESERVAS)]]-Tabla95[[#This Row],[TURNO 1]]</f>
        <v>160</v>
      </c>
    </row>
    <row r="161" spans="1:13" x14ac:dyDescent="0.3">
      <c r="A161" s="25">
        <v>160</v>
      </c>
      <c r="B161" s="26" t="s">
        <v>605</v>
      </c>
      <c r="C161" s="26" t="s">
        <v>249</v>
      </c>
      <c r="D161" s="26" t="s">
        <v>603</v>
      </c>
      <c r="E161" s="26">
        <v>358</v>
      </c>
      <c r="F161" s="26">
        <v>220</v>
      </c>
      <c r="G161" s="26">
        <v>179</v>
      </c>
      <c r="H161" s="26">
        <v>175</v>
      </c>
      <c r="I161" s="27">
        <v>4</v>
      </c>
      <c r="J161" s="26">
        <f>ROUNDUP(Tabla95[[#This Row],[PRESELECCIÓN]]*9%,0)</f>
        <v>33</v>
      </c>
      <c r="K161" s="26">
        <f>Tabla95[[#This Row],[PRESELECCIÓN]]+Tabla95[[#This Row],[RESERVA (9%]]</f>
        <v>391</v>
      </c>
      <c r="L161" s="33">
        <f>ROUNDUP(Tabla95[[#This Row],[TOTAL (TITULARES + RESERVAS)]]*60%,0)</f>
        <v>235</v>
      </c>
      <c r="M161" s="33">
        <f>Tabla95[[#This Row],[TOTAL (TITULARES + RESERVAS)]]-Tabla95[[#This Row],[TURNO 1]]</f>
        <v>156</v>
      </c>
    </row>
    <row r="162" spans="1:13" x14ac:dyDescent="0.3">
      <c r="A162" s="25">
        <v>161</v>
      </c>
      <c r="B162" s="26" t="s">
        <v>605</v>
      </c>
      <c r="C162" s="26" t="s">
        <v>250</v>
      </c>
      <c r="D162" s="26" t="s">
        <v>603</v>
      </c>
      <c r="E162" s="26">
        <v>444</v>
      </c>
      <c r="F162" s="26">
        <v>270</v>
      </c>
      <c r="G162" s="26">
        <v>222</v>
      </c>
      <c r="H162" s="26">
        <v>216</v>
      </c>
      <c r="I162" s="27">
        <v>6</v>
      </c>
      <c r="J162" s="26">
        <f>ROUNDUP(Tabla95[[#This Row],[PRESELECCIÓN]]*9%,0)</f>
        <v>40</v>
      </c>
      <c r="K162" s="26">
        <f>Tabla95[[#This Row],[PRESELECCIÓN]]+Tabla95[[#This Row],[RESERVA (9%]]</f>
        <v>484</v>
      </c>
      <c r="L162" s="33">
        <f>ROUNDUP(Tabla95[[#This Row],[TOTAL (TITULARES + RESERVAS)]]*60%,0)</f>
        <v>291</v>
      </c>
      <c r="M162" s="33">
        <f>Tabla95[[#This Row],[TOTAL (TITULARES + RESERVAS)]]-Tabla95[[#This Row],[TURNO 1]]</f>
        <v>193</v>
      </c>
    </row>
    <row r="163" spans="1:13" x14ac:dyDescent="0.3">
      <c r="A163" s="25">
        <v>162</v>
      </c>
      <c r="B163" s="26" t="s">
        <v>595</v>
      </c>
      <c r="C163" s="26" t="s">
        <v>251</v>
      </c>
      <c r="D163" s="26" t="s">
        <v>251</v>
      </c>
      <c r="E163" s="26">
        <v>198</v>
      </c>
      <c r="F163" s="26">
        <v>119</v>
      </c>
      <c r="G163" s="26">
        <v>99</v>
      </c>
      <c r="H163" s="26">
        <v>98</v>
      </c>
      <c r="I163" s="27">
        <v>1</v>
      </c>
      <c r="J163" s="26">
        <f>ROUNDUP(Tabla95[[#This Row],[PRESELECCIÓN]]*9%,0)</f>
        <v>18</v>
      </c>
      <c r="K163" s="26">
        <f>Tabla95[[#This Row],[PRESELECCIÓN]]+Tabla95[[#This Row],[RESERVA (9%]]</f>
        <v>216</v>
      </c>
      <c r="L163" s="33">
        <f>ROUNDUP(Tabla95[[#This Row],[TOTAL (TITULARES + RESERVAS)]]*60%,0)</f>
        <v>130</v>
      </c>
      <c r="M163" s="33">
        <f>Tabla95[[#This Row],[TOTAL (TITULARES + RESERVAS)]]-Tabla95[[#This Row],[TURNO 1]]</f>
        <v>86</v>
      </c>
    </row>
    <row r="164" spans="1:13" ht="18" x14ac:dyDescent="0.3">
      <c r="A164" s="25">
        <v>163</v>
      </c>
      <c r="B164" s="26" t="s">
        <v>595</v>
      </c>
      <c r="C164" s="26" t="s">
        <v>252</v>
      </c>
      <c r="D164" s="26" t="s">
        <v>198</v>
      </c>
      <c r="E164" s="26">
        <v>306</v>
      </c>
      <c r="F164" s="26">
        <v>184</v>
      </c>
      <c r="G164" s="26">
        <v>153</v>
      </c>
      <c r="H164" s="26">
        <v>152</v>
      </c>
      <c r="I164" s="27">
        <v>1</v>
      </c>
      <c r="J164" s="26">
        <f>ROUNDUP(Tabla95[[#This Row],[PRESELECCIÓN]]*9%,0)</f>
        <v>28</v>
      </c>
      <c r="K164" s="26">
        <f>Tabla95[[#This Row],[PRESELECCIÓN]]+Tabla95[[#This Row],[RESERVA (9%]]</f>
        <v>334</v>
      </c>
      <c r="L164" s="33">
        <f>ROUNDUP(Tabla95[[#This Row],[TOTAL (TITULARES + RESERVAS)]]*60%,0)</f>
        <v>201</v>
      </c>
      <c r="M164" s="33">
        <f>Tabla95[[#This Row],[TOTAL (TITULARES + RESERVAS)]]-Tabla95[[#This Row],[TURNO 1]]</f>
        <v>133</v>
      </c>
    </row>
    <row r="165" spans="1:13" x14ac:dyDescent="0.3">
      <c r="A165" s="25">
        <v>164</v>
      </c>
      <c r="B165" s="26" t="s">
        <v>595</v>
      </c>
      <c r="C165" s="26" t="s">
        <v>253</v>
      </c>
      <c r="D165" s="26" t="s">
        <v>253</v>
      </c>
      <c r="E165" s="26">
        <v>300</v>
      </c>
      <c r="F165" s="26">
        <v>184</v>
      </c>
      <c r="G165" s="26">
        <v>150</v>
      </c>
      <c r="H165" s="26">
        <v>147</v>
      </c>
      <c r="I165" s="27">
        <v>3</v>
      </c>
      <c r="J165" s="26">
        <f>ROUNDUP(Tabla95[[#This Row],[PRESELECCIÓN]]*9%,0)</f>
        <v>27</v>
      </c>
      <c r="K165" s="26">
        <f>Tabla95[[#This Row],[PRESELECCIÓN]]+Tabla95[[#This Row],[RESERVA (9%]]</f>
        <v>327</v>
      </c>
      <c r="L165" s="33">
        <f>ROUNDUP(Tabla95[[#This Row],[TOTAL (TITULARES + RESERVAS)]]*60%,0)</f>
        <v>197</v>
      </c>
      <c r="M165" s="33">
        <f>Tabla95[[#This Row],[TOTAL (TITULARES + RESERVAS)]]-Tabla95[[#This Row],[TURNO 1]]</f>
        <v>130</v>
      </c>
    </row>
    <row r="166" spans="1:13" x14ac:dyDescent="0.3">
      <c r="A166" s="25">
        <v>165</v>
      </c>
      <c r="B166" s="26" t="s">
        <v>595</v>
      </c>
      <c r="C166" s="26" t="s">
        <v>178</v>
      </c>
      <c r="D166" s="26" t="s">
        <v>178</v>
      </c>
      <c r="E166" s="26">
        <v>498</v>
      </c>
      <c r="F166" s="26">
        <v>305</v>
      </c>
      <c r="G166" s="26">
        <v>249</v>
      </c>
      <c r="H166" s="26">
        <v>243</v>
      </c>
      <c r="I166" s="27">
        <v>6</v>
      </c>
      <c r="J166" s="26">
        <f>ROUNDUP(Tabla95[[#This Row],[PRESELECCIÓN]]*9%,0)</f>
        <v>45</v>
      </c>
      <c r="K166" s="26">
        <f>Tabla95[[#This Row],[PRESELECCIÓN]]+Tabla95[[#This Row],[RESERVA (9%]]</f>
        <v>543</v>
      </c>
      <c r="L166" s="33">
        <f>ROUNDUP(Tabla95[[#This Row],[TOTAL (TITULARES + RESERVAS)]]*60%,0)</f>
        <v>326</v>
      </c>
      <c r="M166" s="33">
        <f>Tabla95[[#This Row],[TOTAL (TITULARES + RESERVAS)]]-Tabla95[[#This Row],[TURNO 1]]</f>
        <v>217</v>
      </c>
    </row>
    <row r="167" spans="1:13" ht="18" x14ac:dyDescent="0.3">
      <c r="A167" s="25">
        <v>166</v>
      </c>
      <c r="B167" s="26" t="s">
        <v>595</v>
      </c>
      <c r="C167" s="26" t="s">
        <v>254</v>
      </c>
      <c r="D167" s="26" t="s">
        <v>597</v>
      </c>
      <c r="E167" s="26">
        <v>214</v>
      </c>
      <c r="F167" s="26">
        <v>131</v>
      </c>
      <c r="G167" s="26">
        <v>107</v>
      </c>
      <c r="H167" s="26">
        <v>105</v>
      </c>
      <c r="I167" s="27">
        <v>2</v>
      </c>
      <c r="J167" s="26">
        <f>ROUNDUP(Tabla95[[#This Row],[PRESELECCIÓN]]*9%,0)</f>
        <v>20</v>
      </c>
      <c r="K167" s="26">
        <f>Tabla95[[#This Row],[PRESELECCIÓN]]+Tabla95[[#This Row],[RESERVA (9%]]</f>
        <v>234</v>
      </c>
      <c r="L167" s="33">
        <f>ROUNDUP(Tabla95[[#This Row],[TOTAL (TITULARES + RESERVAS)]]*60%,0)</f>
        <v>141</v>
      </c>
      <c r="M167" s="33">
        <f>Tabla95[[#This Row],[TOTAL (TITULARES + RESERVAS)]]-Tabla95[[#This Row],[TURNO 1]]</f>
        <v>93</v>
      </c>
    </row>
    <row r="168" spans="1:13" x14ac:dyDescent="0.3">
      <c r="A168" s="25">
        <v>167</v>
      </c>
      <c r="B168" s="26" t="s">
        <v>595</v>
      </c>
      <c r="C168" s="26" t="s">
        <v>255</v>
      </c>
      <c r="D168" s="26" t="s">
        <v>255</v>
      </c>
      <c r="E168" s="26">
        <v>250</v>
      </c>
      <c r="F168" s="26">
        <v>152</v>
      </c>
      <c r="G168" s="26">
        <v>125</v>
      </c>
      <c r="H168" s="26">
        <v>123</v>
      </c>
      <c r="I168" s="27">
        <v>2</v>
      </c>
      <c r="J168" s="26">
        <f>ROUNDUP(Tabla95[[#This Row],[PRESELECCIÓN]]*9%,0)</f>
        <v>23</v>
      </c>
      <c r="K168" s="26">
        <f>Tabla95[[#This Row],[PRESELECCIÓN]]+Tabla95[[#This Row],[RESERVA (9%]]</f>
        <v>273</v>
      </c>
      <c r="L168" s="33">
        <f>ROUNDUP(Tabla95[[#This Row],[TOTAL (TITULARES + RESERVAS)]]*60%,0)</f>
        <v>164</v>
      </c>
      <c r="M168" s="33">
        <f>Tabla95[[#This Row],[TOTAL (TITULARES + RESERVAS)]]-Tabla95[[#This Row],[TURNO 1]]</f>
        <v>109</v>
      </c>
    </row>
    <row r="169" spans="1:13" x14ac:dyDescent="0.3">
      <c r="A169" s="25">
        <v>168</v>
      </c>
      <c r="B169" s="26" t="s">
        <v>580</v>
      </c>
      <c r="C169" s="26" t="s">
        <v>256</v>
      </c>
      <c r="D169" s="26" t="s">
        <v>256</v>
      </c>
      <c r="E169" s="26">
        <v>228</v>
      </c>
      <c r="F169" s="26">
        <v>137</v>
      </c>
      <c r="G169" s="26">
        <v>114</v>
      </c>
      <c r="H169" s="26">
        <v>110</v>
      </c>
      <c r="I169" s="27">
        <v>4</v>
      </c>
      <c r="J169" s="26">
        <f>ROUNDUP(Tabla95[[#This Row],[PRESELECCIÓN]]*9%,0)</f>
        <v>21</v>
      </c>
      <c r="K169" s="26">
        <f>Tabla95[[#This Row],[PRESELECCIÓN]]+Tabla95[[#This Row],[RESERVA (9%]]</f>
        <v>249</v>
      </c>
      <c r="L169" s="33">
        <f>ROUNDUP(Tabla95[[#This Row],[TOTAL (TITULARES + RESERVAS)]]*60%,0)</f>
        <v>150</v>
      </c>
      <c r="M169" s="33">
        <f>Tabla95[[#This Row],[TOTAL (TITULARES + RESERVAS)]]-Tabla95[[#This Row],[TURNO 1]]</f>
        <v>99</v>
      </c>
    </row>
    <row r="170" spans="1:13" x14ac:dyDescent="0.3">
      <c r="A170" s="25">
        <v>169</v>
      </c>
      <c r="B170" s="26" t="s">
        <v>580</v>
      </c>
      <c r="C170" s="26" t="s">
        <v>257</v>
      </c>
      <c r="D170" s="26" t="s">
        <v>589</v>
      </c>
      <c r="E170" s="26">
        <v>412</v>
      </c>
      <c r="F170" s="26">
        <v>246</v>
      </c>
      <c r="G170" s="26">
        <v>206</v>
      </c>
      <c r="H170" s="26">
        <v>204</v>
      </c>
      <c r="I170" s="27">
        <v>2</v>
      </c>
      <c r="J170" s="26">
        <f>ROUNDUP(Tabla95[[#This Row],[PRESELECCIÓN]]*9%,0)</f>
        <v>38</v>
      </c>
      <c r="K170" s="26">
        <f>Tabla95[[#This Row],[PRESELECCIÓN]]+Tabla95[[#This Row],[RESERVA (9%]]</f>
        <v>450</v>
      </c>
      <c r="L170" s="33">
        <f>ROUNDUP(Tabla95[[#This Row],[TOTAL (TITULARES + RESERVAS)]]*60%,0)</f>
        <v>270</v>
      </c>
      <c r="M170" s="33">
        <f>Tabla95[[#This Row],[TOTAL (TITULARES + RESERVAS)]]-Tabla95[[#This Row],[TURNO 1]]</f>
        <v>180</v>
      </c>
    </row>
    <row r="171" spans="1:13" x14ac:dyDescent="0.3">
      <c r="A171" s="25">
        <v>170</v>
      </c>
      <c r="B171" s="26" t="s">
        <v>580</v>
      </c>
      <c r="C171" s="26" t="s">
        <v>258</v>
      </c>
      <c r="D171" s="26" t="s">
        <v>589</v>
      </c>
      <c r="E171" s="26">
        <v>466</v>
      </c>
      <c r="F171" s="26">
        <v>281</v>
      </c>
      <c r="G171" s="26">
        <v>233</v>
      </c>
      <c r="H171" s="26">
        <v>227</v>
      </c>
      <c r="I171" s="27">
        <v>6</v>
      </c>
      <c r="J171" s="26">
        <f>ROUNDUP(Tabla95[[#This Row],[PRESELECCIÓN]]*9%,0)</f>
        <v>42</v>
      </c>
      <c r="K171" s="26">
        <f>Tabla95[[#This Row],[PRESELECCIÓN]]+Tabla95[[#This Row],[RESERVA (9%]]</f>
        <v>508</v>
      </c>
      <c r="L171" s="33">
        <f>ROUNDUP(Tabla95[[#This Row],[TOTAL (TITULARES + RESERVAS)]]*60%,0)</f>
        <v>305</v>
      </c>
      <c r="M171" s="33">
        <f>Tabla95[[#This Row],[TOTAL (TITULARES + RESERVAS)]]-Tabla95[[#This Row],[TURNO 1]]</f>
        <v>203</v>
      </c>
    </row>
    <row r="172" spans="1:13" x14ac:dyDescent="0.3">
      <c r="A172" s="25">
        <v>171</v>
      </c>
      <c r="B172" s="26" t="s">
        <v>580</v>
      </c>
      <c r="C172" s="26" t="s">
        <v>263</v>
      </c>
      <c r="D172" s="26" t="s">
        <v>584</v>
      </c>
      <c r="E172" s="26">
        <v>516</v>
      </c>
      <c r="F172" s="26">
        <v>310</v>
      </c>
      <c r="G172" s="26">
        <v>258</v>
      </c>
      <c r="H172" s="26">
        <v>251</v>
      </c>
      <c r="I172" s="27">
        <v>7</v>
      </c>
      <c r="J172" s="26">
        <f>ROUNDUP(Tabla95[[#This Row],[PRESELECCIÓN]]*9%,0)</f>
        <v>47</v>
      </c>
      <c r="K172" s="26">
        <f>Tabla95[[#This Row],[PRESELECCIÓN]]+Tabla95[[#This Row],[RESERVA (9%]]</f>
        <v>563</v>
      </c>
      <c r="L172" s="33">
        <f>ROUNDUP(Tabla95[[#This Row],[TOTAL (TITULARES + RESERVAS)]]*60%,0)</f>
        <v>338</v>
      </c>
      <c r="M172" s="33">
        <f>Tabla95[[#This Row],[TOTAL (TITULARES + RESERVAS)]]-Tabla95[[#This Row],[TURNO 1]]</f>
        <v>225</v>
      </c>
    </row>
    <row r="173" spans="1:13" x14ac:dyDescent="0.3">
      <c r="A173" s="25">
        <v>172</v>
      </c>
      <c r="B173" s="26" t="s">
        <v>580</v>
      </c>
      <c r="C173" s="26" t="s">
        <v>266</v>
      </c>
      <c r="D173" s="26" t="s">
        <v>584</v>
      </c>
      <c r="E173" s="26">
        <v>600</v>
      </c>
      <c r="F173" s="26">
        <v>359</v>
      </c>
      <c r="G173" s="26">
        <v>300</v>
      </c>
      <c r="H173" s="26">
        <v>291</v>
      </c>
      <c r="I173" s="27">
        <v>9</v>
      </c>
      <c r="J173" s="26">
        <f>ROUNDUP(Tabla95[[#This Row],[PRESELECCIÓN]]*9%,0)</f>
        <v>54</v>
      </c>
      <c r="K173" s="26">
        <f>Tabla95[[#This Row],[PRESELECCIÓN]]+Tabla95[[#This Row],[RESERVA (9%]]</f>
        <v>654</v>
      </c>
      <c r="L173" s="33">
        <f>ROUNDUP(Tabla95[[#This Row],[TOTAL (TITULARES + RESERVAS)]]*60%,0)</f>
        <v>393</v>
      </c>
      <c r="M173" s="33">
        <f>Tabla95[[#This Row],[TOTAL (TITULARES + RESERVAS)]]-Tabla95[[#This Row],[TURNO 1]]</f>
        <v>261</v>
      </c>
    </row>
    <row r="174" spans="1:13" x14ac:dyDescent="0.3">
      <c r="A174" s="25">
        <v>173</v>
      </c>
      <c r="B174" s="26" t="s">
        <v>580</v>
      </c>
      <c r="C174" s="26" t="s">
        <v>268</v>
      </c>
      <c r="D174" s="26" t="s">
        <v>578</v>
      </c>
      <c r="E174" s="26">
        <v>494</v>
      </c>
      <c r="F174" s="26">
        <v>291</v>
      </c>
      <c r="G174" s="26">
        <v>247</v>
      </c>
      <c r="H174" s="26">
        <v>235</v>
      </c>
      <c r="I174" s="27">
        <v>12</v>
      </c>
      <c r="J174" s="26">
        <f>ROUNDUP(Tabla95[[#This Row],[PRESELECCIÓN]]*9%,0)</f>
        <v>45</v>
      </c>
      <c r="K174" s="26">
        <f>Tabla95[[#This Row],[PRESELECCIÓN]]+Tabla95[[#This Row],[RESERVA (9%]]</f>
        <v>539</v>
      </c>
      <c r="L174" s="33">
        <f>ROUNDUP(Tabla95[[#This Row],[TOTAL (TITULARES + RESERVAS)]]*60%,0)</f>
        <v>324</v>
      </c>
      <c r="M174" s="33">
        <f>Tabla95[[#This Row],[TOTAL (TITULARES + RESERVAS)]]-Tabla95[[#This Row],[TURNO 1]]</f>
        <v>215</v>
      </c>
    </row>
    <row r="175" spans="1:13" ht="18" x14ac:dyDescent="0.3">
      <c r="A175" s="25">
        <v>174</v>
      </c>
      <c r="B175" s="26" t="s">
        <v>580</v>
      </c>
      <c r="C175" s="26" t="s">
        <v>269</v>
      </c>
      <c r="D175" s="26" t="s">
        <v>578</v>
      </c>
      <c r="E175" s="26">
        <v>404</v>
      </c>
      <c r="F175" s="26">
        <v>241</v>
      </c>
      <c r="G175" s="26">
        <v>202</v>
      </c>
      <c r="H175" s="26">
        <v>192</v>
      </c>
      <c r="I175" s="27">
        <v>10</v>
      </c>
      <c r="J175" s="26">
        <f>ROUNDUP(Tabla95[[#This Row],[PRESELECCIÓN]]*9%,0)</f>
        <v>37</v>
      </c>
      <c r="K175" s="26">
        <f>Tabla95[[#This Row],[PRESELECCIÓN]]+Tabla95[[#This Row],[RESERVA (9%]]</f>
        <v>441</v>
      </c>
      <c r="L175" s="33">
        <f>ROUNDUP(Tabla95[[#This Row],[TOTAL (TITULARES + RESERVAS)]]*60%,0)</f>
        <v>265</v>
      </c>
      <c r="M175" s="33">
        <f>Tabla95[[#This Row],[TOTAL (TITULARES + RESERVAS)]]-Tabla95[[#This Row],[TURNO 1]]</f>
        <v>176</v>
      </c>
    </row>
    <row r="176" spans="1:13" x14ac:dyDescent="0.3">
      <c r="A176" s="25">
        <v>175</v>
      </c>
      <c r="B176" s="26" t="s">
        <v>565</v>
      </c>
      <c r="C176" s="26" t="s">
        <v>270</v>
      </c>
      <c r="D176" s="26" t="s">
        <v>270</v>
      </c>
      <c r="E176" s="26">
        <v>374</v>
      </c>
      <c r="F176" s="26">
        <v>224</v>
      </c>
      <c r="G176" s="26">
        <v>187</v>
      </c>
      <c r="H176" s="26">
        <v>183</v>
      </c>
      <c r="I176" s="27">
        <v>4</v>
      </c>
      <c r="J176" s="26">
        <f>ROUNDUP(Tabla95[[#This Row],[PRESELECCIÓN]]*9%,0)</f>
        <v>34</v>
      </c>
      <c r="K176" s="26">
        <f>Tabla95[[#This Row],[PRESELECCIÓN]]+Tabla95[[#This Row],[RESERVA (9%]]</f>
        <v>408</v>
      </c>
      <c r="L176" s="33">
        <f>ROUNDUP(Tabla95[[#This Row],[TOTAL (TITULARES + RESERVAS)]]*60%,0)</f>
        <v>245</v>
      </c>
      <c r="M176" s="33">
        <f>Tabla95[[#This Row],[TOTAL (TITULARES + RESERVAS)]]-Tabla95[[#This Row],[TURNO 1]]</f>
        <v>163</v>
      </c>
    </row>
    <row r="177" spans="1:13" ht="18" x14ac:dyDescent="0.3">
      <c r="A177" s="25">
        <v>176</v>
      </c>
      <c r="B177" s="26" t="s">
        <v>565</v>
      </c>
      <c r="C177" s="26" t="s">
        <v>271</v>
      </c>
      <c r="D177" s="26" t="s">
        <v>563</v>
      </c>
      <c r="E177" s="26">
        <v>396</v>
      </c>
      <c r="F177" s="26">
        <v>236</v>
      </c>
      <c r="G177" s="26">
        <v>198</v>
      </c>
      <c r="H177" s="26">
        <v>191</v>
      </c>
      <c r="I177" s="27">
        <v>7</v>
      </c>
      <c r="J177" s="26">
        <f>ROUNDUP(Tabla95[[#This Row],[PRESELECCIÓN]]*9%,0)</f>
        <v>36</v>
      </c>
      <c r="K177" s="26">
        <f>Tabla95[[#This Row],[PRESELECCIÓN]]+Tabla95[[#This Row],[RESERVA (9%]]</f>
        <v>432</v>
      </c>
      <c r="L177" s="33">
        <f>ROUNDUP(Tabla95[[#This Row],[TOTAL (TITULARES + RESERVAS)]]*60%,0)</f>
        <v>260</v>
      </c>
      <c r="M177" s="33">
        <f>Tabla95[[#This Row],[TOTAL (TITULARES + RESERVAS)]]-Tabla95[[#This Row],[TURNO 1]]</f>
        <v>172</v>
      </c>
    </row>
    <row r="178" spans="1:13" ht="18" x14ac:dyDescent="0.3">
      <c r="A178" s="25">
        <v>177</v>
      </c>
      <c r="B178" s="26" t="s">
        <v>565</v>
      </c>
      <c r="C178" s="26" t="s">
        <v>272</v>
      </c>
      <c r="D178" s="26" t="s">
        <v>563</v>
      </c>
      <c r="E178" s="26">
        <v>390</v>
      </c>
      <c r="F178" s="26">
        <v>234</v>
      </c>
      <c r="G178" s="26">
        <v>195</v>
      </c>
      <c r="H178" s="26">
        <v>185</v>
      </c>
      <c r="I178" s="27">
        <v>10</v>
      </c>
      <c r="J178" s="26">
        <f>ROUNDUP(Tabla95[[#This Row],[PRESELECCIÓN]]*9%,0)</f>
        <v>36</v>
      </c>
      <c r="K178" s="26">
        <f>Tabla95[[#This Row],[PRESELECCIÓN]]+Tabla95[[#This Row],[RESERVA (9%]]</f>
        <v>426</v>
      </c>
      <c r="L178" s="33">
        <f>ROUNDUP(Tabla95[[#This Row],[TOTAL (TITULARES + RESERVAS)]]*60%,0)</f>
        <v>256</v>
      </c>
      <c r="M178" s="33">
        <f>Tabla95[[#This Row],[TOTAL (TITULARES + RESERVAS)]]-Tabla95[[#This Row],[TURNO 1]]</f>
        <v>170</v>
      </c>
    </row>
    <row r="179" spans="1:13" ht="18" x14ac:dyDescent="0.3">
      <c r="A179" s="25">
        <v>178</v>
      </c>
      <c r="B179" s="26" t="s">
        <v>565</v>
      </c>
      <c r="C179" s="26" t="s">
        <v>273</v>
      </c>
      <c r="D179" s="26" t="s">
        <v>563</v>
      </c>
      <c r="E179" s="26">
        <v>454</v>
      </c>
      <c r="F179" s="26">
        <v>270</v>
      </c>
      <c r="G179" s="26">
        <v>227</v>
      </c>
      <c r="H179" s="26">
        <v>216</v>
      </c>
      <c r="I179" s="27">
        <v>11</v>
      </c>
      <c r="J179" s="26">
        <f>ROUNDUP(Tabla95[[#This Row],[PRESELECCIÓN]]*9%,0)</f>
        <v>41</v>
      </c>
      <c r="K179" s="26">
        <f>Tabla95[[#This Row],[PRESELECCIÓN]]+Tabla95[[#This Row],[RESERVA (9%]]</f>
        <v>495</v>
      </c>
      <c r="L179" s="33">
        <f>ROUNDUP(Tabla95[[#This Row],[TOTAL (TITULARES + RESERVAS)]]*60%,0)</f>
        <v>297</v>
      </c>
      <c r="M179" s="33">
        <f>Tabla95[[#This Row],[TOTAL (TITULARES + RESERVAS)]]-Tabla95[[#This Row],[TURNO 1]]</f>
        <v>198</v>
      </c>
    </row>
    <row r="180" spans="1:13" ht="18" x14ac:dyDescent="0.3">
      <c r="A180" s="25">
        <v>179</v>
      </c>
      <c r="B180" s="26" t="s">
        <v>565</v>
      </c>
      <c r="C180" s="26" t="s">
        <v>274</v>
      </c>
      <c r="D180" s="26" t="s">
        <v>563</v>
      </c>
      <c r="E180" s="26">
        <v>358</v>
      </c>
      <c r="F180" s="26">
        <v>213</v>
      </c>
      <c r="G180" s="26">
        <v>179</v>
      </c>
      <c r="H180" s="26">
        <v>171</v>
      </c>
      <c r="I180" s="27">
        <v>8</v>
      </c>
      <c r="J180" s="26">
        <f>ROUNDUP(Tabla95[[#This Row],[PRESELECCIÓN]]*9%,0)</f>
        <v>33</v>
      </c>
      <c r="K180" s="26">
        <f>Tabla95[[#This Row],[PRESELECCIÓN]]+Tabla95[[#This Row],[RESERVA (9%]]</f>
        <v>391</v>
      </c>
      <c r="L180" s="33">
        <f>ROUNDUP(Tabla95[[#This Row],[TOTAL (TITULARES + RESERVAS)]]*60%,0)</f>
        <v>235</v>
      </c>
      <c r="M180" s="33">
        <f>Tabla95[[#This Row],[TOTAL (TITULARES + RESERVAS)]]-Tabla95[[#This Row],[TURNO 1]]</f>
        <v>156</v>
      </c>
    </row>
    <row r="181" spans="1:13" ht="18" x14ac:dyDescent="0.3">
      <c r="A181" s="25">
        <v>180</v>
      </c>
      <c r="B181" s="26" t="s">
        <v>565</v>
      </c>
      <c r="C181" s="26" t="s">
        <v>275</v>
      </c>
      <c r="D181" s="26" t="s">
        <v>563</v>
      </c>
      <c r="E181" s="26">
        <v>558</v>
      </c>
      <c r="F181" s="26">
        <v>327</v>
      </c>
      <c r="G181" s="26">
        <v>279</v>
      </c>
      <c r="H181" s="26">
        <v>263</v>
      </c>
      <c r="I181" s="27">
        <v>16</v>
      </c>
      <c r="J181" s="26">
        <f>ROUNDUP(Tabla95[[#This Row],[PRESELECCIÓN]]*9%,0)</f>
        <v>51</v>
      </c>
      <c r="K181" s="26">
        <f>Tabla95[[#This Row],[PRESELECCIÓN]]+Tabla95[[#This Row],[RESERVA (9%]]</f>
        <v>609</v>
      </c>
      <c r="L181" s="33">
        <f>ROUNDUP(Tabla95[[#This Row],[TOTAL (TITULARES + RESERVAS)]]*60%,0)</f>
        <v>366</v>
      </c>
      <c r="M181" s="33">
        <f>Tabla95[[#This Row],[TOTAL (TITULARES + RESERVAS)]]-Tabla95[[#This Row],[TURNO 1]]</f>
        <v>243</v>
      </c>
    </row>
    <row r="182" spans="1:13" ht="18" x14ac:dyDescent="0.3">
      <c r="A182" s="25">
        <v>181</v>
      </c>
      <c r="B182" s="26" t="s">
        <v>565</v>
      </c>
      <c r="C182" s="26" t="s">
        <v>276</v>
      </c>
      <c r="D182" s="26" t="s">
        <v>563</v>
      </c>
      <c r="E182" s="26">
        <v>372</v>
      </c>
      <c r="F182" s="26">
        <v>222</v>
      </c>
      <c r="G182" s="26">
        <v>186</v>
      </c>
      <c r="H182" s="26">
        <v>181</v>
      </c>
      <c r="I182" s="27">
        <v>5</v>
      </c>
      <c r="J182" s="26">
        <f>ROUNDUP(Tabla95[[#This Row],[PRESELECCIÓN]]*9%,0)</f>
        <v>34</v>
      </c>
      <c r="K182" s="26">
        <f>Tabla95[[#This Row],[PRESELECCIÓN]]+Tabla95[[#This Row],[RESERVA (9%]]</f>
        <v>406</v>
      </c>
      <c r="L182" s="33">
        <f>ROUNDUP(Tabla95[[#This Row],[TOTAL (TITULARES + RESERVAS)]]*60%,0)</f>
        <v>244</v>
      </c>
      <c r="M182" s="33">
        <f>Tabla95[[#This Row],[TOTAL (TITULARES + RESERVAS)]]-Tabla95[[#This Row],[TURNO 1]]</f>
        <v>162</v>
      </c>
    </row>
    <row r="183" spans="1:13" x14ac:dyDescent="0.3">
      <c r="A183" s="25">
        <v>182</v>
      </c>
      <c r="B183" s="26" t="s">
        <v>546</v>
      </c>
      <c r="C183" s="26" t="s">
        <v>277</v>
      </c>
      <c r="D183" s="26" t="s">
        <v>556</v>
      </c>
      <c r="E183" s="26">
        <v>486</v>
      </c>
      <c r="F183" s="26">
        <v>295</v>
      </c>
      <c r="G183" s="26">
        <v>243</v>
      </c>
      <c r="H183" s="26">
        <v>233</v>
      </c>
      <c r="I183" s="27">
        <v>10</v>
      </c>
      <c r="J183" s="26">
        <f>ROUNDUP(Tabla95[[#This Row],[PRESELECCIÓN]]*9%,0)</f>
        <v>44</v>
      </c>
      <c r="K183" s="26">
        <f>Tabla95[[#This Row],[PRESELECCIÓN]]+Tabla95[[#This Row],[RESERVA (9%]]</f>
        <v>530</v>
      </c>
      <c r="L183" s="33">
        <f>ROUNDUP(Tabla95[[#This Row],[TOTAL (TITULARES + RESERVAS)]]*60%,0)</f>
        <v>318</v>
      </c>
      <c r="M183" s="33">
        <f>Tabla95[[#This Row],[TOTAL (TITULARES + RESERVAS)]]-Tabla95[[#This Row],[TURNO 1]]</f>
        <v>212</v>
      </c>
    </row>
    <row r="184" spans="1:13" x14ac:dyDescent="0.3">
      <c r="A184" s="25">
        <v>183</v>
      </c>
      <c r="B184" s="26" t="s">
        <v>546</v>
      </c>
      <c r="C184" s="26" t="s">
        <v>278</v>
      </c>
      <c r="D184" s="26" t="s">
        <v>556</v>
      </c>
      <c r="E184" s="26">
        <v>396</v>
      </c>
      <c r="F184" s="26">
        <v>237</v>
      </c>
      <c r="G184" s="26">
        <v>198</v>
      </c>
      <c r="H184" s="26">
        <v>193</v>
      </c>
      <c r="I184" s="27">
        <v>5</v>
      </c>
      <c r="J184" s="26">
        <f>ROUNDUP(Tabla95[[#This Row],[PRESELECCIÓN]]*9%,0)</f>
        <v>36</v>
      </c>
      <c r="K184" s="26">
        <f>Tabla95[[#This Row],[PRESELECCIÓN]]+Tabla95[[#This Row],[RESERVA (9%]]</f>
        <v>432</v>
      </c>
      <c r="L184" s="33">
        <f>ROUNDUP(Tabla95[[#This Row],[TOTAL (TITULARES + RESERVAS)]]*60%,0)</f>
        <v>260</v>
      </c>
      <c r="M184" s="33">
        <f>Tabla95[[#This Row],[TOTAL (TITULARES + RESERVAS)]]-Tabla95[[#This Row],[TURNO 1]]</f>
        <v>172</v>
      </c>
    </row>
    <row r="185" spans="1:13" x14ac:dyDescent="0.3">
      <c r="A185" s="25">
        <v>184</v>
      </c>
      <c r="B185" s="26" t="s">
        <v>546</v>
      </c>
      <c r="C185" s="26" t="s">
        <v>279</v>
      </c>
      <c r="D185" s="26" t="s">
        <v>556</v>
      </c>
      <c r="E185" s="26">
        <v>526</v>
      </c>
      <c r="F185" s="26">
        <v>317</v>
      </c>
      <c r="G185" s="26">
        <v>263</v>
      </c>
      <c r="H185" s="26">
        <v>257</v>
      </c>
      <c r="I185" s="27">
        <v>6</v>
      </c>
      <c r="J185" s="26">
        <f>ROUNDUP(Tabla95[[#This Row],[PRESELECCIÓN]]*9%,0)</f>
        <v>48</v>
      </c>
      <c r="K185" s="26">
        <f>Tabla95[[#This Row],[PRESELECCIÓN]]+Tabla95[[#This Row],[RESERVA (9%]]</f>
        <v>574</v>
      </c>
      <c r="L185" s="33">
        <f>ROUNDUP(Tabla95[[#This Row],[TOTAL (TITULARES + RESERVAS)]]*60%,0)</f>
        <v>345</v>
      </c>
      <c r="M185" s="33">
        <f>Tabla95[[#This Row],[TOTAL (TITULARES + RESERVAS)]]-Tabla95[[#This Row],[TURNO 1]]</f>
        <v>229</v>
      </c>
    </row>
    <row r="186" spans="1:13" x14ac:dyDescent="0.3">
      <c r="A186" s="25">
        <v>185</v>
      </c>
      <c r="B186" s="26" t="s">
        <v>546</v>
      </c>
      <c r="C186" s="26" t="s">
        <v>280</v>
      </c>
      <c r="D186" s="26" t="s">
        <v>553</v>
      </c>
      <c r="E186" s="26">
        <v>394</v>
      </c>
      <c r="F186" s="26">
        <v>240</v>
      </c>
      <c r="G186" s="26">
        <v>197</v>
      </c>
      <c r="H186" s="26">
        <v>192</v>
      </c>
      <c r="I186" s="27">
        <v>5</v>
      </c>
      <c r="J186" s="26">
        <f>ROUNDUP(Tabla95[[#This Row],[PRESELECCIÓN]]*9%,0)</f>
        <v>36</v>
      </c>
      <c r="K186" s="26">
        <f>Tabla95[[#This Row],[PRESELECCIÓN]]+Tabla95[[#This Row],[RESERVA (9%]]</f>
        <v>430</v>
      </c>
      <c r="L186" s="33">
        <f>ROUNDUP(Tabla95[[#This Row],[TOTAL (TITULARES + RESERVAS)]]*60%,0)</f>
        <v>258</v>
      </c>
      <c r="M186" s="33">
        <f>Tabla95[[#This Row],[TOTAL (TITULARES + RESERVAS)]]-Tabla95[[#This Row],[TURNO 1]]</f>
        <v>172</v>
      </c>
    </row>
    <row r="187" spans="1:13" x14ac:dyDescent="0.3">
      <c r="A187" s="25">
        <v>186</v>
      </c>
      <c r="B187" s="26" t="s">
        <v>546</v>
      </c>
      <c r="C187" s="26" t="s">
        <v>281</v>
      </c>
      <c r="D187" s="26" t="s">
        <v>548</v>
      </c>
      <c r="E187" s="26">
        <v>404</v>
      </c>
      <c r="F187" s="26">
        <v>244</v>
      </c>
      <c r="G187" s="26">
        <v>202</v>
      </c>
      <c r="H187" s="26">
        <v>199</v>
      </c>
      <c r="I187" s="27">
        <v>3</v>
      </c>
      <c r="J187" s="26">
        <f>ROUNDUP(Tabla95[[#This Row],[PRESELECCIÓN]]*9%,0)</f>
        <v>37</v>
      </c>
      <c r="K187" s="26">
        <f>Tabla95[[#This Row],[PRESELECCIÓN]]+Tabla95[[#This Row],[RESERVA (9%]]</f>
        <v>441</v>
      </c>
      <c r="L187" s="33">
        <f>ROUNDUP(Tabla95[[#This Row],[TOTAL (TITULARES + RESERVAS)]]*60%,0)</f>
        <v>265</v>
      </c>
      <c r="M187" s="33">
        <f>Tabla95[[#This Row],[TOTAL (TITULARES + RESERVAS)]]-Tabla95[[#This Row],[TURNO 1]]</f>
        <v>176</v>
      </c>
    </row>
    <row r="188" spans="1:13" x14ac:dyDescent="0.3">
      <c r="A188" s="25">
        <v>187</v>
      </c>
      <c r="B188" s="26" t="s">
        <v>546</v>
      </c>
      <c r="C188" s="26" t="s">
        <v>282</v>
      </c>
      <c r="D188" s="26" t="s">
        <v>548</v>
      </c>
      <c r="E188" s="26">
        <v>354</v>
      </c>
      <c r="F188" s="26">
        <v>211</v>
      </c>
      <c r="G188" s="26">
        <v>177</v>
      </c>
      <c r="H188" s="26">
        <v>172</v>
      </c>
      <c r="I188" s="27">
        <v>5</v>
      </c>
      <c r="J188" s="26">
        <f>ROUNDUP(Tabla95[[#This Row],[PRESELECCIÓN]]*9%,0)</f>
        <v>32</v>
      </c>
      <c r="K188" s="26">
        <f>Tabla95[[#This Row],[PRESELECCIÓN]]+Tabla95[[#This Row],[RESERVA (9%]]</f>
        <v>386</v>
      </c>
      <c r="L188" s="33">
        <f>ROUNDUP(Tabla95[[#This Row],[TOTAL (TITULARES + RESERVAS)]]*60%,0)</f>
        <v>232</v>
      </c>
      <c r="M188" s="33">
        <f>Tabla95[[#This Row],[TOTAL (TITULARES + RESERVAS)]]-Tabla95[[#This Row],[TURNO 1]]</f>
        <v>154</v>
      </c>
    </row>
    <row r="189" spans="1:13" x14ac:dyDescent="0.3">
      <c r="A189" s="25">
        <v>188</v>
      </c>
      <c r="B189" s="26" t="s">
        <v>546</v>
      </c>
      <c r="C189" s="26" t="s">
        <v>283</v>
      </c>
      <c r="D189" s="26" t="s">
        <v>283</v>
      </c>
      <c r="E189" s="26">
        <v>438</v>
      </c>
      <c r="F189" s="26">
        <v>262</v>
      </c>
      <c r="G189" s="26">
        <v>219</v>
      </c>
      <c r="H189" s="26">
        <v>207</v>
      </c>
      <c r="I189" s="27">
        <v>12</v>
      </c>
      <c r="J189" s="26">
        <f>ROUNDUP(Tabla95[[#This Row],[PRESELECCIÓN]]*9%,0)</f>
        <v>40</v>
      </c>
      <c r="K189" s="26">
        <f>Tabla95[[#This Row],[PRESELECCIÓN]]+Tabla95[[#This Row],[RESERVA (9%]]</f>
        <v>478</v>
      </c>
      <c r="L189" s="33">
        <f>ROUNDUP(Tabla95[[#This Row],[TOTAL (TITULARES + RESERVAS)]]*60%,0)</f>
        <v>287</v>
      </c>
      <c r="M189" s="33">
        <f>Tabla95[[#This Row],[TOTAL (TITULARES + RESERVAS)]]-Tabla95[[#This Row],[TURNO 1]]</f>
        <v>191</v>
      </c>
    </row>
    <row r="190" spans="1:13" x14ac:dyDescent="0.3">
      <c r="A190" s="25">
        <v>189</v>
      </c>
      <c r="B190" s="26" t="s">
        <v>535</v>
      </c>
      <c r="C190" s="26" t="s">
        <v>284</v>
      </c>
      <c r="D190" s="26" t="s">
        <v>284</v>
      </c>
      <c r="E190" s="26">
        <v>148</v>
      </c>
      <c r="F190" s="26">
        <v>89</v>
      </c>
      <c r="G190" s="26">
        <v>74</v>
      </c>
      <c r="H190" s="26">
        <v>72</v>
      </c>
      <c r="I190" s="27">
        <v>2</v>
      </c>
      <c r="J190" s="26">
        <f>ROUNDUP(Tabla95[[#This Row],[PRESELECCIÓN]]*9%,0)</f>
        <v>14</v>
      </c>
      <c r="K190" s="26">
        <f>Tabla95[[#This Row],[PRESELECCIÓN]]+Tabla95[[#This Row],[RESERVA (9%]]</f>
        <v>162</v>
      </c>
      <c r="L190" s="33">
        <f>ROUNDUP(Tabla95[[#This Row],[TOTAL (TITULARES + RESERVAS)]]*60%,0)</f>
        <v>98</v>
      </c>
      <c r="M190" s="33">
        <f>Tabla95[[#This Row],[TOTAL (TITULARES + RESERVAS)]]-Tabla95[[#This Row],[TURNO 1]]</f>
        <v>64</v>
      </c>
    </row>
    <row r="191" spans="1:13" x14ac:dyDescent="0.3">
      <c r="A191" s="25">
        <v>190</v>
      </c>
      <c r="B191" s="26" t="s">
        <v>535</v>
      </c>
      <c r="C191" s="26" t="s">
        <v>285</v>
      </c>
      <c r="D191" s="26" t="s">
        <v>285</v>
      </c>
      <c r="E191" s="26">
        <v>738</v>
      </c>
      <c r="F191" s="26">
        <v>445</v>
      </c>
      <c r="G191" s="26">
        <v>369</v>
      </c>
      <c r="H191" s="26">
        <v>355</v>
      </c>
      <c r="I191" s="27">
        <v>14</v>
      </c>
      <c r="J191" s="26">
        <f>ROUNDUP(Tabla95[[#This Row],[PRESELECCIÓN]]*9%,0)</f>
        <v>67</v>
      </c>
      <c r="K191" s="26">
        <f>Tabla95[[#This Row],[PRESELECCIÓN]]+Tabla95[[#This Row],[RESERVA (9%]]</f>
        <v>805</v>
      </c>
      <c r="L191" s="33">
        <f>ROUNDUP(Tabla95[[#This Row],[TOTAL (TITULARES + RESERVAS)]]*60%,0)</f>
        <v>483</v>
      </c>
      <c r="M191" s="33">
        <f>Tabla95[[#This Row],[TOTAL (TITULARES + RESERVAS)]]-Tabla95[[#This Row],[TURNO 1]]</f>
        <v>322</v>
      </c>
    </row>
    <row r="192" spans="1:13" x14ac:dyDescent="0.3">
      <c r="A192" s="25">
        <v>191</v>
      </c>
      <c r="B192" s="26" t="s">
        <v>535</v>
      </c>
      <c r="C192" s="26" t="s">
        <v>287</v>
      </c>
      <c r="D192" s="26" t="s">
        <v>541</v>
      </c>
      <c r="E192" s="26">
        <v>250</v>
      </c>
      <c r="F192" s="26">
        <v>153</v>
      </c>
      <c r="G192" s="26">
        <v>125</v>
      </c>
      <c r="H192" s="26">
        <v>120</v>
      </c>
      <c r="I192" s="27">
        <v>5</v>
      </c>
      <c r="J192" s="26">
        <f>ROUNDUP(Tabla95[[#This Row],[PRESELECCIÓN]]*9%,0)</f>
        <v>23</v>
      </c>
      <c r="K192" s="26">
        <f>Tabla95[[#This Row],[PRESELECCIÓN]]+Tabla95[[#This Row],[RESERVA (9%]]</f>
        <v>273</v>
      </c>
      <c r="L192" s="33">
        <f>ROUNDUP(Tabla95[[#This Row],[TOTAL (TITULARES + RESERVAS)]]*60%,0)</f>
        <v>164</v>
      </c>
      <c r="M192" s="33">
        <f>Tabla95[[#This Row],[TOTAL (TITULARES + RESERVAS)]]-Tabla95[[#This Row],[TURNO 1]]</f>
        <v>109</v>
      </c>
    </row>
    <row r="193" spans="1:13" x14ac:dyDescent="0.3">
      <c r="A193" s="25">
        <v>192</v>
      </c>
      <c r="B193" s="26" t="s">
        <v>535</v>
      </c>
      <c r="C193" s="26" t="s">
        <v>288</v>
      </c>
      <c r="D193" s="26" t="s">
        <v>539</v>
      </c>
      <c r="E193" s="26">
        <v>232</v>
      </c>
      <c r="F193" s="26">
        <v>142</v>
      </c>
      <c r="G193" s="26">
        <v>116</v>
      </c>
      <c r="H193" s="26">
        <v>113</v>
      </c>
      <c r="I193" s="27">
        <v>3</v>
      </c>
      <c r="J193" s="26">
        <f>ROUNDUP(Tabla95[[#This Row],[PRESELECCIÓN]]*9%,0)</f>
        <v>21</v>
      </c>
      <c r="K193" s="26">
        <f>Tabla95[[#This Row],[PRESELECCIÓN]]+Tabla95[[#This Row],[RESERVA (9%]]</f>
        <v>253</v>
      </c>
      <c r="L193" s="33">
        <f>ROUNDUP(Tabla95[[#This Row],[TOTAL (TITULARES + RESERVAS)]]*60%,0)</f>
        <v>152</v>
      </c>
      <c r="M193" s="33">
        <f>Tabla95[[#This Row],[TOTAL (TITULARES + RESERVAS)]]-Tabla95[[#This Row],[TURNO 1]]</f>
        <v>101</v>
      </c>
    </row>
    <row r="194" spans="1:13" x14ac:dyDescent="0.3">
      <c r="A194" s="25">
        <v>193</v>
      </c>
      <c r="B194" s="26" t="s">
        <v>535</v>
      </c>
      <c r="C194" s="26" t="s">
        <v>289</v>
      </c>
      <c r="D194" s="26" t="s">
        <v>289</v>
      </c>
      <c r="E194" s="26">
        <v>396</v>
      </c>
      <c r="F194" s="26">
        <v>243</v>
      </c>
      <c r="G194" s="26">
        <v>198</v>
      </c>
      <c r="H194" s="26">
        <v>194</v>
      </c>
      <c r="I194" s="27">
        <v>4</v>
      </c>
      <c r="J194" s="26">
        <f>ROUNDUP(Tabla95[[#This Row],[PRESELECCIÓN]]*9%,0)</f>
        <v>36</v>
      </c>
      <c r="K194" s="26">
        <f>Tabla95[[#This Row],[PRESELECCIÓN]]+Tabla95[[#This Row],[RESERVA (9%]]</f>
        <v>432</v>
      </c>
      <c r="L194" s="33">
        <f>ROUNDUP(Tabla95[[#This Row],[TOTAL (TITULARES + RESERVAS)]]*60%,0)</f>
        <v>260</v>
      </c>
      <c r="M194" s="33">
        <f>Tabla95[[#This Row],[TOTAL (TITULARES + RESERVAS)]]-Tabla95[[#This Row],[TURNO 1]]</f>
        <v>172</v>
      </c>
    </row>
    <row r="195" spans="1:13" x14ac:dyDescent="0.3">
      <c r="A195" s="25">
        <v>194</v>
      </c>
      <c r="B195" s="26" t="s">
        <v>526</v>
      </c>
      <c r="C195" s="26" t="s">
        <v>290</v>
      </c>
      <c r="D195" s="26" t="s">
        <v>530</v>
      </c>
      <c r="E195" s="26">
        <v>392</v>
      </c>
      <c r="F195" s="26">
        <v>233</v>
      </c>
      <c r="G195" s="26">
        <v>196</v>
      </c>
      <c r="H195" s="26">
        <v>192</v>
      </c>
      <c r="I195" s="27">
        <v>4</v>
      </c>
      <c r="J195" s="26">
        <f>ROUNDUP(Tabla95[[#This Row],[PRESELECCIÓN]]*9%,0)</f>
        <v>36</v>
      </c>
      <c r="K195" s="26">
        <f>Tabla95[[#This Row],[PRESELECCIÓN]]+Tabla95[[#This Row],[RESERVA (9%]]</f>
        <v>428</v>
      </c>
      <c r="L195" s="33">
        <f>ROUNDUP(Tabla95[[#This Row],[TOTAL (TITULARES + RESERVAS)]]*60%,0)</f>
        <v>257</v>
      </c>
      <c r="M195" s="33">
        <f>Tabla95[[#This Row],[TOTAL (TITULARES + RESERVAS)]]-Tabla95[[#This Row],[TURNO 1]]</f>
        <v>171</v>
      </c>
    </row>
    <row r="196" spans="1:13" x14ac:dyDescent="0.3">
      <c r="A196" s="25">
        <v>195</v>
      </c>
      <c r="B196" s="26" t="s">
        <v>526</v>
      </c>
      <c r="C196" s="26" t="s">
        <v>291</v>
      </c>
      <c r="D196" s="26" t="s">
        <v>530</v>
      </c>
      <c r="E196" s="26">
        <v>358</v>
      </c>
      <c r="F196" s="26">
        <v>219</v>
      </c>
      <c r="G196" s="26">
        <v>179</v>
      </c>
      <c r="H196" s="26">
        <v>174</v>
      </c>
      <c r="I196" s="27">
        <v>5</v>
      </c>
      <c r="J196" s="26">
        <f>ROUNDUP(Tabla95[[#This Row],[PRESELECCIÓN]]*9%,0)</f>
        <v>33</v>
      </c>
      <c r="K196" s="26">
        <f>Tabla95[[#This Row],[PRESELECCIÓN]]+Tabla95[[#This Row],[RESERVA (9%]]</f>
        <v>391</v>
      </c>
      <c r="L196" s="33">
        <f>ROUNDUP(Tabla95[[#This Row],[TOTAL (TITULARES + RESERVAS)]]*60%,0)</f>
        <v>235</v>
      </c>
      <c r="M196" s="33">
        <f>Tabla95[[#This Row],[TOTAL (TITULARES + RESERVAS)]]-Tabla95[[#This Row],[TURNO 1]]</f>
        <v>156</v>
      </c>
    </row>
    <row r="197" spans="1:13" x14ac:dyDescent="0.3">
      <c r="A197" s="25">
        <v>196</v>
      </c>
      <c r="B197" s="26" t="s">
        <v>526</v>
      </c>
      <c r="C197" s="26" t="s">
        <v>292</v>
      </c>
      <c r="D197" s="26" t="s">
        <v>528</v>
      </c>
      <c r="E197" s="26">
        <v>82</v>
      </c>
      <c r="F197" s="26">
        <v>51</v>
      </c>
      <c r="G197" s="26">
        <v>41</v>
      </c>
      <c r="H197" s="26">
        <v>40</v>
      </c>
      <c r="I197" s="27">
        <v>1</v>
      </c>
      <c r="J197" s="26">
        <f>ROUNDUP(Tabla95[[#This Row],[PRESELECCIÓN]]*9%,0)</f>
        <v>8</v>
      </c>
      <c r="K197" s="26">
        <f>Tabla95[[#This Row],[PRESELECCIÓN]]+Tabla95[[#This Row],[RESERVA (9%]]</f>
        <v>90</v>
      </c>
      <c r="L197" s="33">
        <f>ROUNDUP(Tabla95[[#This Row],[TOTAL (TITULARES + RESERVAS)]]*60%,0)</f>
        <v>54</v>
      </c>
      <c r="M197" s="33">
        <f>Tabla95[[#This Row],[TOTAL (TITULARES + RESERVAS)]]-Tabla95[[#This Row],[TURNO 1]]</f>
        <v>36</v>
      </c>
    </row>
    <row r="198" spans="1:13" x14ac:dyDescent="0.3">
      <c r="A198" s="25">
        <v>197</v>
      </c>
      <c r="B198" s="26" t="s">
        <v>526</v>
      </c>
      <c r="C198" s="26" t="s">
        <v>293</v>
      </c>
      <c r="D198" s="26" t="s">
        <v>293</v>
      </c>
      <c r="E198" s="26">
        <v>102</v>
      </c>
      <c r="F198" s="26">
        <v>59</v>
      </c>
      <c r="G198" s="26">
        <v>51</v>
      </c>
      <c r="H198" s="26">
        <v>51</v>
      </c>
      <c r="I198" s="28"/>
      <c r="J198" s="26">
        <f>ROUNDUP(Tabla95[[#This Row],[PRESELECCIÓN]]*9%,0)</f>
        <v>10</v>
      </c>
      <c r="K198" s="26">
        <f>Tabla95[[#This Row],[PRESELECCIÓN]]+Tabla95[[#This Row],[RESERVA (9%]]</f>
        <v>112</v>
      </c>
      <c r="L198" s="33">
        <f>ROUNDUP(Tabla95[[#This Row],[TOTAL (TITULARES + RESERVAS)]]*60%,0)</f>
        <v>68</v>
      </c>
      <c r="M198" s="33">
        <f>Tabla95[[#This Row],[TOTAL (TITULARES + RESERVAS)]]-Tabla95[[#This Row],[TURNO 1]]</f>
        <v>44</v>
      </c>
    </row>
    <row r="199" spans="1:13" ht="18" x14ac:dyDescent="0.3">
      <c r="A199" s="25">
        <v>198</v>
      </c>
      <c r="B199" s="26" t="s">
        <v>516</v>
      </c>
      <c r="C199" s="26" t="s">
        <v>294</v>
      </c>
      <c r="D199" s="26" t="s">
        <v>418</v>
      </c>
      <c r="E199" s="26">
        <v>520</v>
      </c>
      <c r="F199" s="26">
        <v>310</v>
      </c>
      <c r="G199" s="26">
        <v>260</v>
      </c>
      <c r="H199" s="26">
        <v>256</v>
      </c>
      <c r="I199" s="27">
        <v>4</v>
      </c>
      <c r="J199" s="26">
        <f>ROUNDUP(Tabla95[[#This Row],[PRESELECCIÓN]]*9%,0)</f>
        <v>47</v>
      </c>
      <c r="K199" s="26">
        <f>Tabla95[[#This Row],[PRESELECCIÓN]]+Tabla95[[#This Row],[RESERVA (9%]]</f>
        <v>567</v>
      </c>
      <c r="L199" s="33">
        <f>ROUNDUP(Tabla95[[#This Row],[TOTAL (TITULARES + RESERVAS)]]*60%,0)</f>
        <v>341</v>
      </c>
      <c r="M199" s="33">
        <f>Tabla95[[#This Row],[TOTAL (TITULARES + RESERVAS)]]-Tabla95[[#This Row],[TURNO 1]]</f>
        <v>226</v>
      </c>
    </row>
    <row r="200" spans="1:13" x14ac:dyDescent="0.3">
      <c r="A200" s="25">
        <v>199</v>
      </c>
      <c r="B200" s="26" t="s">
        <v>516</v>
      </c>
      <c r="C200" s="26" t="s">
        <v>295</v>
      </c>
      <c r="D200" s="26" t="s">
        <v>295</v>
      </c>
      <c r="E200" s="26">
        <v>532</v>
      </c>
      <c r="F200" s="26">
        <v>321</v>
      </c>
      <c r="G200" s="26">
        <v>266</v>
      </c>
      <c r="H200" s="26">
        <v>265</v>
      </c>
      <c r="I200" s="27">
        <v>1</v>
      </c>
      <c r="J200" s="26">
        <f>ROUNDUP(Tabla95[[#This Row],[PRESELECCIÓN]]*9%,0)</f>
        <v>48</v>
      </c>
      <c r="K200" s="26">
        <f>Tabla95[[#This Row],[PRESELECCIÓN]]+Tabla95[[#This Row],[RESERVA (9%]]</f>
        <v>580</v>
      </c>
      <c r="L200" s="33">
        <f>ROUNDUP(Tabla95[[#This Row],[TOTAL (TITULARES + RESERVAS)]]*60%,0)</f>
        <v>348</v>
      </c>
      <c r="M200" s="33">
        <f>Tabla95[[#This Row],[TOTAL (TITULARES + RESERVAS)]]-Tabla95[[#This Row],[TURNO 1]]</f>
        <v>232</v>
      </c>
    </row>
    <row r="201" spans="1:13" x14ac:dyDescent="0.3">
      <c r="A201" s="25">
        <v>200</v>
      </c>
      <c r="B201" s="26" t="s">
        <v>516</v>
      </c>
      <c r="C201" s="26" t="s">
        <v>296</v>
      </c>
      <c r="D201" s="26" t="s">
        <v>520</v>
      </c>
      <c r="E201" s="26">
        <v>272</v>
      </c>
      <c r="F201" s="26">
        <v>166</v>
      </c>
      <c r="G201" s="26">
        <v>136</v>
      </c>
      <c r="H201" s="26">
        <v>134</v>
      </c>
      <c r="I201" s="27">
        <v>2</v>
      </c>
      <c r="J201" s="26">
        <f>ROUNDUP(Tabla95[[#This Row],[PRESELECCIÓN]]*9%,0)</f>
        <v>25</v>
      </c>
      <c r="K201" s="26">
        <f>Tabla95[[#This Row],[PRESELECCIÓN]]+Tabla95[[#This Row],[RESERVA (9%]]</f>
        <v>297</v>
      </c>
      <c r="L201" s="33">
        <f>ROUNDUP(Tabla95[[#This Row],[TOTAL (TITULARES + RESERVAS)]]*60%,0)</f>
        <v>179</v>
      </c>
      <c r="M201" s="33">
        <f>Tabla95[[#This Row],[TOTAL (TITULARES + RESERVAS)]]-Tabla95[[#This Row],[TURNO 1]]</f>
        <v>118</v>
      </c>
    </row>
    <row r="202" spans="1:13" x14ac:dyDescent="0.3">
      <c r="A202" s="25">
        <v>201</v>
      </c>
      <c r="B202" s="26" t="s">
        <v>516</v>
      </c>
      <c r="C202" s="26" t="s">
        <v>297</v>
      </c>
      <c r="D202" s="26" t="s">
        <v>520</v>
      </c>
      <c r="E202" s="26">
        <v>350</v>
      </c>
      <c r="F202" s="26">
        <v>212</v>
      </c>
      <c r="G202" s="26">
        <v>175</v>
      </c>
      <c r="H202" s="26">
        <v>173</v>
      </c>
      <c r="I202" s="27">
        <v>2</v>
      </c>
      <c r="J202" s="26">
        <f>ROUNDUP(Tabla95[[#This Row],[PRESELECCIÓN]]*9%,0)</f>
        <v>32</v>
      </c>
      <c r="K202" s="26">
        <f>Tabla95[[#This Row],[PRESELECCIÓN]]+Tabla95[[#This Row],[RESERVA (9%]]</f>
        <v>382</v>
      </c>
      <c r="L202" s="33">
        <f>ROUNDUP(Tabla95[[#This Row],[TOTAL (TITULARES + RESERVAS)]]*60%,0)</f>
        <v>230</v>
      </c>
      <c r="M202" s="33">
        <f>Tabla95[[#This Row],[TOTAL (TITULARES + RESERVAS)]]-Tabla95[[#This Row],[TURNO 1]]</f>
        <v>152</v>
      </c>
    </row>
    <row r="203" spans="1:13" x14ac:dyDescent="0.3">
      <c r="A203" s="25">
        <v>202</v>
      </c>
      <c r="B203" s="26" t="s">
        <v>516</v>
      </c>
      <c r="C203" s="26" t="s">
        <v>298</v>
      </c>
      <c r="D203" s="26" t="s">
        <v>298</v>
      </c>
      <c r="E203" s="26">
        <v>102</v>
      </c>
      <c r="F203" s="26">
        <v>61</v>
      </c>
      <c r="G203" s="26">
        <v>51</v>
      </c>
      <c r="H203" s="26">
        <v>51</v>
      </c>
      <c r="I203" s="28"/>
      <c r="J203" s="26">
        <f>ROUNDUP(Tabla95[[#This Row],[PRESELECCIÓN]]*9%,0)</f>
        <v>10</v>
      </c>
      <c r="K203" s="26">
        <f>Tabla95[[#This Row],[PRESELECCIÓN]]+Tabla95[[#This Row],[RESERVA (9%]]</f>
        <v>112</v>
      </c>
      <c r="L203" s="33">
        <f>ROUNDUP(Tabla95[[#This Row],[TOTAL (TITULARES + RESERVAS)]]*60%,0)</f>
        <v>68</v>
      </c>
      <c r="M203" s="33">
        <f>Tabla95[[#This Row],[TOTAL (TITULARES + RESERVAS)]]-Tabla95[[#This Row],[TURNO 1]]</f>
        <v>44</v>
      </c>
    </row>
    <row r="204" spans="1:13" x14ac:dyDescent="0.3">
      <c r="A204" s="25">
        <v>203</v>
      </c>
      <c r="B204" s="26" t="s">
        <v>172</v>
      </c>
      <c r="C204" s="26" t="s">
        <v>172</v>
      </c>
      <c r="D204" s="26" t="s">
        <v>513</v>
      </c>
      <c r="E204" s="26">
        <v>502</v>
      </c>
      <c r="F204" s="26">
        <v>296</v>
      </c>
      <c r="G204" s="26">
        <v>251</v>
      </c>
      <c r="H204" s="26">
        <v>249</v>
      </c>
      <c r="I204" s="27">
        <v>2</v>
      </c>
      <c r="J204" s="26">
        <f>ROUNDUP(Tabla95[[#This Row],[PRESELECCIÓN]]*9%,0)</f>
        <v>46</v>
      </c>
      <c r="K204" s="26">
        <f>Tabla95[[#This Row],[PRESELECCIÓN]]+Tabla95[[#This Row],[RESERVA (9%]]</f>
        <v>548</v>
      </c>
      <c r="L204" s="33">
        <f>ROUNDUP(Tabla95[[#This Row],[TOTAL (TITULARES + RESERVAS)]]*60%,0)</f>
        <v>329</v>
      </c>
      <c r="M204" s="33">
        <f>Tabla95[[#This Row],[TOTAL (TITULARES + RESERVAS)]]-Tabla95[[#This Row],[TURNO 1]]</f>
        <v>219</v>
      </c>
    </row>
    <row r="205" spans="1:13" ht="18" x14ac:dyDescent="0.3">
      <c r="A205" s="25">
        <v>204</v>
      </c>
      <c r="B205" s="26" t="s">
        <v>172</v>
      </c>
      <c r="C205" s="26" t="s">
        <v>299</v>
      </c>
      <c r="D205" s="26" t="s">
        <v>511</v>
      </c>
      <c r="E205" s="26">
        <v>406</v>
      </c>
      <c r="F205" s="26">
        <v>237</v>
      </c>
      <c r="G205" s="26">
        <v>203</v>
      </c>
      <c r="H205" s="26">
        <v>200</v>
      </c>
      <c r="I205" s="27">
        <v>3</v>
      </c>
      <c r="J205" s="26">
        <f>ROUNDUP(Tabla95[[#This Row],[PRESELECCIÓN]]*9%,0)</f>
        <v>37</v>
      </c>
      <c r="K205" s="26">
        <f>Tabla95[[#This Row],[PRESELECCIÓN]]+Tabla95[[#This Row],[RESERVA (9%]]</f>
        <v>443</v>
      </c>
      <c r="L205" s="33">
        <f>ROUNDUP(Tabla95[[#This Row],[TOTAL (TITULARES + RESERVAS)]]*60%,0)</f>
        <v>266</v>
      </c>
      <c r="M205" s="33">
        <f>Tabla95[[#This Row],[TOTAL (TITULARES + RESERVAS)]]-Tabla95[[#This Row],[TURNO 1]]</f>
        <v>177</v>
      </c>
    </row>
    <row r="206" spans="1:13" x14ac:dyDescent="0.3">
      <c r="A206" s="25">
        <v>205</v>
      </c>
      <c r="B206" s="26" t="s">
        <v>172</v>
      </c>
      <c r="C206" s="26" t="s">
        <v>300</v>
      </c>
      <c r="D206" s="26" t="s">
        <v>509</v>
      </c>
      <c r="E206" s="26">
        <v>592</v>
      </c>
      <c r="F206" s="26">
        <v>351</v>
      </c>
      <c r="G206" s="26">
        <v>296</v>
      </c>
      <c r="H206" s="26">
        <v>288</v>
      </c>
      <c r="I206" s="27">
        <v>8</v>
      </c>
      <c r="J206" s="26">
        <f>ROUNDUP(Tabla95[[#This Row],[PRESELECCIÓN]]*9%,0)</f>
        <v>54</v>
      </c>
      <c r="K206" s="26">
        <f>Tabla95[[#This Row],[PRESELECCIÓN]]+Tabla95[[#This Row],[RESERVA (9%]]</f>
        <v>646</v>
      </c>
      <c r="L206" s="33">
        <f>ROUNDUP(Tabla95[[#This Row],[TOTAL (TITULARES + RESERVAS)]]*60%,0)</f>
        <v>388</v>
      </c>
      <c r="M206" s="33">
        <f>Tabla95[[#This Row],[TOTAL (TITULARES + RESERVAS)]]-Tabla95[[#This Row],[TURNO 1]]</f>
        <v>258</v>
      </c>
    </row>
    <row r="207" spans="1:13" ht="18" x14ac:dyDescent="0.3">
      <c r="A207" s="25">
        <v>206</v>
      </c>
      <c r="B207" s="26" t="s">
        <v>172</v>
      </c>
      <c r="C207" s="26" t="s">
        <v>301</v>
      </c>
      <c r="D207" s="26" t="s">
        <v>507</v>
      </c>
      <c r="E207" s="26">
        <v>628</v>
      </c>
      <c r="F207" s="26">
        <v>376</v>
      </c>
      <c r="G207" s="26">
        <v>314</v>
      </c>
      <c r="H207" s="26">
        <v>303</v>
      </c>
      <c r="I207" s="27">
        <v>11</v>
      </c>
      <c r="J207" s="26">
        <f>ROUNDUP(Tabla95[[#This Row],[PRESELECCIÓN]]*9%,0)</f>
        <v>57</v>
      </c>
      <c r="K207" s="26">
        <f>Tabla95[[#This Row],[PRESELECCIÓN]]+Tabla95[[#This Row],[RESERVA (9%]]</f>
        <v>685</v>
      </c>
      <c r="L207" s="33">
        <f>ROUNDUP(Tabla95[[#This Row],[TOTAL (TITULARES + RESERVAS)]]*60%,0)</f>
        <v>411</v>
      </c>
      <c r="M207" s="33">
        <f>Tabla95[[#This Row],[TOTAL (TITULARES + RESERVAS)]]-Tabla95[[#This Row],[TURNO 1]]</f>
        <v>274</v>
      </c>
    </row>
    <row r="208" spans="1:13" x14ac:dyDescent="0.3">
      <c r="A208" s="25">
        <v>207</v>
      </c>
      <c r="B208" s="26" t="s">
        <v>172</v>
      </c>
      <c r="C208" s="26" t="s">
        <v>302</v>
      </c>
      <c r="D208" s="26" t="s">
        <v>504</v>
      </c>
      <c r="E208" s="26">
        <v>652</v>
      </c>
      <c r="F208" s="26">
        <v>387</v>
      </c>
      <c r="G208" s="26">
        <v>326</v>
      </c>
      <c r="H208" s="26">
        <v>321</v>
      </c>
      <c r="I208" s="27">
        <v>5</v>
      </c>
      <c r="J208" s="26">
        <f>ROUNDUP(Tabla95[[#This Row],[PRESELECCIÓN]]*9%,0)</f>
        <v>59</v>
      </c>
      <c r="K208" s="26">
        <f>Tabla95[[#This Row],[PRESELECCIÓN]]+Tabla95[[#This Row],[RESERVA (9%]]</f>
        <v>711</v>
      </c>
      <c r="L208" s="33">
        <f>ROUNDUP(Tabla95[[#This Row],[TOTAL (TITULARES + RESERVAS)]]*60%,0)</f>
        <v>427</v>
      </c>
      <c r="M208" s="33">
        <f>Tabla95[[#This Row],[TOTAL (TITULARES + RESERVAS)]]-Tabla95[[#This Row],[TURNO 1]]</f>
        <v>284</v>
      </c>
    </row>
    <row r="209" spans="1:13" x14ac:dyDescent="0.3">
      <c r="A209" s="25">
        <v>208</v>
      </c>
      <c r="B209" s="26" t="s">
        <v>172</v>
      </c>
      <c r="C209" s="26" t="s">
        <v>206</v>
      </c>
      <c r="D209" s="26" t="s">
        <v>206</v>
      </c>
      <c r="E209" s="26">
        <v>456</v>
      </c>
      <c r="F209" s="26">
        <v>267</v>
      </c>
      <c r="G209" s="26">
        <v>228</v>
      </c>
      <c r="H209" s="26">
        <v>225</v>
      </c>
      <c r="I209" s="27">
        <v>3</v>
      </c>
      <c r="J209" s="26">
        <f>ROUNDUP(Tabla95[[#This Row],[PRESELECCIÓN]]*9%,0)</f>
        <v>42</v>
      </c>
      <c r="K209" s="26">
        <f>Tabla95[[#This Row],[PRESELECCIÓN]]+Tabla95[[#This Row],[RESERVA (9%]]</f>
        <v>498</v>
      </c>
      <c r="L209" s="33">
        <f>ROUNDUP(Tabla95[[#This Row],[TOTAL (TITULARES + RESERVAS)]]*60%,0)</f>
        <v>299</v>
      </c>
      <c r="M209" s="33">
        <f>Tabla95[[#This Row],[TOTAL (TITULARES + RESERVAS)]]-Tabla95[[#This Row],[TURNO 1]]</f>
        <v>199</v>
      </c>
    </row>
    <row r="210" spans="1:13" x14ac:dyDescent="0.3">
      <c r="A210" s="25">
        <v>209</v>
      </c>
      <c r="B210" s="26" t="s">
        <v>497</v>
      </c>
      <c r="C210" s="26" t="s">
        <v>303</v>
      </c>
      <c r="D210" s="26" t="s">
        <v>496</v>
      </c>
      <c r="E210" s="26">
        <v>432</v>
      </c>
      <c r="F210" s="26">
        <v>256</v>
      </c>
      <c r="G210" s="26">
        <v>216</v>
      </c>
      <c r="H210" s="26">
        <v>215</v>
      </c>
      <c r="I210" s="27">
        <v>1</v>
      </c>
      <c r="J210" s="26">
        <f>ROUNDUP(Tabla95[[#This Row],[PRESELECCIÓN]]*9%,0)</f>
        <v>39</v>
      </c>
      <c r="K210" s="26">
        <f>Tabla95[[#This Row],[PRESELECCIÓN]]+Tabla95[[#This Row],[RESERVA (9%]]</f>
        <v>471</v>
      </c>
      <c r="L210" s="33">
        <f>ROUNDUP(Tabla95[[#This Row],[TOTAL (TITULARES + RESERVAS)]]*60%,0)</f>
        <v>283</v>
      </c>
      <c r="M210" s="33">
        <f>Tabla95[[#This Row],[TOTAL (TITULARES + RESERVAS)]]-Tabla95[[#This Row],[TURNO 1]]</f>
        <v>188</v>
      </c>
    </row>
    <row r="211" spans="1:13" x14ac:dyDescent="0.3">
      <c r="A211" s="25">
        <v>210</v>
      </c>
      <c r="B211" s="26" t="s">
        <v>497</v>
      </c>
      <c r="C211" s="26" t="s">
        <v>304</v>
      </c>
      <c r="D211" s="26" t="s">
        <v>496</v>
      </c>
      <c r="E211" s="26">
        <v>466</v>
      </c>
      <c r="F211" s="26">
        <v>274</v>
      </c>
      <c r="G211" s="26">
        <v>233</v>
      </c>
      <c r="H211" s="26">
        <v>226</v>
      </c>
      <c r="I211" s="27">
        <v>7</v>
      </c>
      <c r="J211" s="26">
        <f>ROUNDUP(Tabla95[[#This Row],[PRESELECCIÓN]]*9%,0)</f>
        <v>42</v>
      </c>
      <c r="K211" s="26">
        <f>Tabla95[[#This Row],[PRESELECCIÓN]]+Tabla95[[#This Row],[RESERVA (9%]]</f>
        <v>508</v>
      </c>
      <c r="L211" s="33">
        <f>ROUNDUP(Tabla95[[#This Row],[TOTAL (TITULARES + RESERVAS)]]*60%,0)</f>
        <v>305</v>
      </c>
      <c r="M211" s="33">
        <f>Tabla95[[#This Row],[TOTAL (TITULARES + RESERVAS)]]-Tabla95[[#This Row],[TURNO 1]]</f>
        <v>203</v>
      </c>
    </row>
    <row r="212" spans="1:13" x14ac:dyDescent="0.3">
      <c r="A212" s="25">
        <v>211</v>
      </c>
      <c r="B212" s="26" t="s">
        <v>489</v>
      </c>
      <c r="C212" s="26" t="s">
        <v>305</v>
      </c>
      <c r="D212" s="26" t="s">
        <v>494</v>
      </c>
      <c r="E212" s="26">
        <v>64</v>
      </c>
      <c r="F212" s="26">
        <v>39</v>
      </c>
      <c r="G212" s="26">
        <v>32</v>
      </c>
      <c r="H212" s="26">
        <v>32</v>
      </c>
      <c r="I212" s="28"/>
      <c r="J212" s="26">
        <f>ROUNDUP(Tabla95[[#This Row],[PRESELECCIÓN]]*9%,0)</f>
        <v>6</v>
      </c>
      <c r="K212" s="26">
        <f>Tabla95[[#This Row],[PRESELECCIÓN]]+Tabla95[[#This Row],[RESERVA (9%]]</f>
        <v>70</v>
      </c>
      <c r="L212" s="33">
        <f>ROUNDUP(Tabla95[[#This Row],[TOTAL (TITULARES + RESERVAS)]]*60%,0)</f>
        <v>42</v>
      </c>
      <c r="M212" s="33">
        <f>Tabla95[[#This Row],[TOTAL (TITULARES + RESERVAS)]]-Tabla95[[#This Row],[TURNO 1]]</f>
        <v>28</v>
      </c>
    </row>
    <row r="213" spans="1:13" x14ac:dyDescent="0.3">
      <c r="A213" s="25">
        <v>212</v>
      </c>
      <c r="B213" s="26" t="s">
        <v>489</v>
      </c>
      <c r="C213" s="26" t="s">
        <v>306</v>
      </c>
      <c r="D213" s="26" t="s">
        <v>306</v>
      </c>
      <c r="E213" s="26">
        <v>240</v>
      </c>
      <c r="F213" s="26">
        <v>147</v>
      </c>
      <c r="G213" s="26">
        <v>120</v>
      </c>
      <c r="H213" s="26">
        <v>118</v>
      </c>
      <c r="I213" s="27">
        <v>2</v>
      </c>
      <c r="J213" s="26">
        <f>ROUNDUP(Tabla95[[#This Row],[PRESELECCIÓN]]*9%,0)</f>
        <v>22</v>
      </c>
      <c r="K213" s="26">
        <f>Tabla95[[#This Row],[PRESELECCIÓN]]+Tabla95[[#This Row],[RESERVA (9%]]</f>
        <v>262</v>
      </c>
      <c r="L213" s="33">
        <f>ROUNDUP(Tabla95[[#This Row],[TOTAL (TITULARES + RESERVAS)]]*60%,0)</f>
        <v>158</v>
      </c>
      <c r="M213" s="33">
        <f>Tabla95[[#This Row],[TOTAL (TITULARES + RESERVAS)]]-Tabla95[[#This Row],[TURNO 1]]</f>
        <v>104</v>
      </c>
    </row>
    <row r="214" spans="1:13" x14ac:dyDescent="0.3">
      <c r="A214" s="25">
        <v>213</v>
      </c>
      <c r="B214" s="26" t="s">
        <v>489</v>
      </c>
      <c r="C214" s="26" t="s">
        <v>307</v>
      </c>
      <c r="D214" s="26" t="s">
        <v>489</v>
      </c>
      <c r="E214" s="26">
        <v>260</v>
      </c>
      <c r="F214" s="26">
        <v>161</v>
      </c>
      <c r="G214" s="26">
        <v>130</v>
      </c>
      <c r="H214" s="26">
        <v>126</v>
      </c>
      <c r="I214" s="27">
        <v>4</v>
      </c>
      <c r="J214" s="26">
        <f>ROUNDUP(Tabla95[[#This Row],[PRESELECCIÓN]]*9%,0)</f>
        <v>24</v>
      </c>
      <c r="K214" s="26">
        <f>Tabla95[[#This Row],[PRESELECCIÓN]]+Tabla95[[#This Row],[RESERVA (9%]]</f>
        <v>284</v>
      </c>
      <c r="L214" s="33">
        <f>ROUNDUP(Tabla95[[#This Row],[TOTAL (TITULARES + RESERVAS)]]*60%,0)</f>
        <v>171</v>
      </c>
      <c r="M214" s="33">
        <f>Tabla95[[#This Row],[TOTAL (TITULARES + RESERVAS)]]-Tabla95[[#This Row],[TURNO 1]]</f>
        <v>113</v>
      </c>
    </row>
    <row r="215" spans="1:13" x14ac:dyDescent="0.3">
      <c r="A215" s="25">
        <v>214</v>
      </c>
      <c r="B215" s="26" t="s">
        <v>187</v>
      </c>
      <c r="C215" s="26" t="s">
        <v>308</v>
      </c>
      <c r="D215" s="26" t="s">
        <v>487</v>
      </c>
      <c r="E215" s="26">
        <v>110</v>
      </c>
      <c r="F215" s="26">
        <v>66</v>
      </c>
      <c r="G215" s="26">
        <v>55</v>
      </c>
      <c r="H215" s="26">
        <v>55</v>
      </c>
      <c r="I215" s="28"/>
      <c r="J215" s="26">
        <f>ROUNDUP(Tabla95[[#This Row],[PRESELECCIÓN]]*9%,0)</f>
        <v>10</v>
      </c>
      <c r="K215" s="26">
        <f>Tabla95[[#This Row],[PRESELECCIÓN]]+Tabla95[[#This Row],[RESERVA (9%]]</f>
        <v>120</v>
      </c>
      <c r="L215" s="33">
        <f>ROUNDUP(Tabla95[[#This Row],[TOTAL (TITULARES + RESERVAS)]]*60%,0)</f>
        <v>72</v>
      </c>
      <c r="M215" s="33">
        <f>Tabla95[[#This Row],[TOTAL (TITULARES + RESERVAS)]]-Tabla95[[#This Row],[TURNO 1]]</f>
        <v>48</v>
      </c>
    </row>
    <row r="216" spans="1:13" x14ac:dyDescent="0.3">
      <c r="A216" s="25">
        <v>215</v>
      </c>
      <c r="B216" s="26" t="s">
        <v>187</v>
      </c>
      <c r="C216" s="26" t="s">
        <v>309</v>
      </c>
      <c r="D216" s="26" t="s">
        <v>483</v>
      </c>
      <c r="E216" s="26">
        <v>212</v>
      </c>
      <c r="F216" s="26">
        <v>129</v>
      </c>
      <c r="G216" s="26">
        <v>106</v>
      </c>
      <c r="H216" s="26">
        <v>105</v>
      </c>
      <c r="I216" s="27">
        <v>1</v>
      </c>
      <c r="J216" s="26">
        <f>ROUNDUP(Tabla95[[#This Row],[PRESELECCIÓN]]*9%,0)</f>
        <v>20</v>
      </c>
      <c r="K216" s="26">
        <f>Tabla95[[#This Row],[PRESELECCIÓN]]+Tabla95[[#This Row],[RESERVA (9%]]</f>
        <v>232</v>
      </c>
      <c r="L216" s="33">
        <f>ROUNDUP(Tabla95[[#This Row],[TOTAL (TITULARES + RESERVAS)]]*60%,0)</f>
        <v>140</v>
      </c>
      <c r="M216" s="33">
        <f>Tabla95[[#This Row],[TOTAL (TITULARES + RESERVAS)]]-Tabla95[[#This Row],[TURNO 1]]</f>
        <v>92</v>
      </c>
    </row>
    <row r="217" spans="1:13" ht="18" x14ac:dyDescent="0.3">
      <c r="A217" s="25">
        <v>216</v>
      </c>
      <c r="B217" s="26" t="s">
        <v>187</v>
      </c>
      <c r="C217" s="26" t="s">
        <v>310</v>
      </c>
      <c r="D217" s="26" t="s">
        <v>482</v>
      </c>
      <c r="E217" s="26">
        <v>402</v>
      </c>
      <c r="F217" s="26">
        <v>238</v>
      </c>
      <c r="G217" s="26">
        <v>201</v>
      </c>
      <c r="H217" s="26">
        <v>201</v>
      </c>
      <c r="I217" s="28"/>
      <c r="J217" s="26">
        <f>ROUNDUP(Tabla95[[#This Row],[PRESELECCIÓN]]*9%,0)</f>
        <v>37</v>
      </c>
      <c r="K217" s="26">
        <f>Tabla95[[#This Row],[PRESELECCIÓN]]+Tabla95[[#This Row],[RESERVA (9%]]</f>
        <v>439</v>
      </c>
      <c r="L217" s="33">
        <f>ROUNDUP(Tabla95[[#This Row],[TOTAL (TITULARES + RESERVAS)]]*60%,0)</f>
        <v>264</v>
      </c>
      <c r="M217" s="33">
        <f>Tabla95[[#This Row],[TOTAL (TITULARES + RESERVAS)]]-Tabla95[[#This Row],[TURNO 1]]</f>
        <v>175</v>
      </c>
    </row>
    <row r="218" spans="1:13" x14ac:dyDescent="0.3">
      <c r="A218" s="25">
        <v>217</v>
      </c>
      <c r="B218" s="26" t="s">
        <v>187</v>
      </c>
      <c r="C218" s="26" t="s">
        <v>311</v>
      </c>
      <c r="D218" s="26" t="s">
        <v>477</v>
      </c>
      <c r="E218" s="26">
        <v>228</v>
      </c>
      <c r="F218" s="26">
        <v>141</v>
      </c>
      <c r="G218" s="26">
        <v>114</v>
      </c>
      <c r="H218" s="26">
        <v>114</v>
      </c>
      <c r="I218" s="28"/>
      <c r="J218" s="26">
        <f>ROUNDUP(Tabla95[[#This Row],[PRESELECCIÓN]]*9%,0)</f>
        <v>21</v>
      </c>
      <c r="K218" s="26">
        <f>Tabla95[[#This Row],[PRESELECCIÓN]]+Tabla95[[#This Row],[RESERVA (9%]]</f>
        <v>249</v>
      </c>
      <c r="L218" s="33">
        <f>ROUNDUP(Tabla95[[#This Row],[TOTAL (TITULARES + RESERVAS)]]*60%,0)</f>
        <v>150</v>
      </c>
      <c r="M218" s="33">
        <f>Tabla95[[#This Row],[TOTAL (TITULARES + RESERVAS)]]-Tabla95[[#This Row],[TURNO 1]]</f>
        <v>99</v>
      </c>
    </row>
    <row r="219" spans="1:13" x14ac:dyDescent="0.3">
      <c r="A219" s="25">
        <v>218</v>
      </c>
      <c r="B219" s="26" t="s">
        <v>187</v>
      </c>
      <c r="C219" s="26" t="s">
        <v>312</v>
      </c>
      <c r="D219" s="26" t="s">
        <v>477</v>
      </c>
      <c r="E219" s="26">
        <v>240</v>
      </c>
      <c r="F219" s="26">
        <v>148</v>
      </c>
      <c r="G219" s="26">
        <v>120</v>
      </c>
      <c r="H219" s="26">
        <v>120</v>
      </c>
      <c r="I219" s="28"/>
      <c r="J219" s="26">
        <f>ROUNDUP(Tabla95[[#This Row],[PRESELECCIÓN]]*9%,0)</f>
        <v>22</v>
      </c>
      <c r="K219" s="26">
        <f>Tabla95[[#This Row],[PRESELECCIÓN]]+Tabla95[[#This Row],[RESERVA (9%]]</f>
        <v>262</v>
      </c>
      <c r="L219" s="33">
        <f>ROUNDUP(Tabla95[[#This Row],[TOTAL (TITULARES + RESERVAS)]]*60%,0)</f>
        <v>158</v>
      </c>
      <c r="M219" s="33">
        <f>Tabla95[[#This Row],[TOTAL (TITULARES + RESERVAS)]]-Tabla95[[#This Row],[TURNO 1]]</f>
        <v>104</v>
      </c>
    </row>
    <row r="220" spans="1:13" x14ac:dyDescent="0.3">
      <c r="A220" s="25">
        <v>219</v>
      </c>
      <c r="B220" s="26" t="s">
        <v>456</v>
      </c>
      <c r="C220" s="26" t="s">
        <v>313</v>
      </c>
      <c r="D220" s="26" t="s">
        <v>313</v>
      </c>
      <c r="E220" s="26">
        <v>572</v>
      </c>
      <c r="F220" s="26">
        <v>330</v>
      </c>
      <c r="G220" s="26">
        <v>286</v>
      </c>
      <c r="H220" s="26">
        <v>286</v>
      </c>
      <c r="I220" s="28"/>
      <c r="J220" s="26">
        <f>ROUNDUP(Tabla95[[#This Row],[PRESELECCIÓN]]*9%,0)</f>
        <v>52</v>
      </c>
      <c r="K220" s="26">
        <f>Tabla95[[#This Row],[PRESELECCIÓN]]+Tabla95[[#This Row],[RESERVA (9%]]</f>
        <v>624</v>
      </c>
      <c r="L220" s="33">
        <f>ROUNDUP(Tabla95[[#This Row],[TOTAL (TITULARES + RESERVAS)]]*60%,0)</f>
        <v>375</v>
      </c>
      <c r="M220" s="33">
        <f>Tabla95[[#This Row],[TOTAL (TITULARES + RESERVAS)]]-Tabla95[[#This Row],[TURNO 1]]</f>
        <v>249</v>
      </c>
    </row>
    <row r="221" spans="1:13" x14ac:dyDescent="0.3">
      <c r="A221" s="25">
        <v>220</v>
      </c>
      <c r="B221" s="26" t="s">
        <v>456</v>
      </c>
      <c r="C221" s="26" t="s">
        <v>314</v>
      </c>
      <c r="D221" s="26" t="s">
        <v>314</v>
      </c>
      <c r="E221" s="26">
        <v>670</v>
      </c>
      <c r="F221" s="26">
        <v>393</v>
      </c>
      <c r="G221" s="26">
        <v>335</v>
      </c>
      <c r="H221" s="26">
        <v>335</v>
      </c>
      <c r="I221" s="28"/>
      <c r="J221" s="26">
        <f>ROUNDUP(Tabla95[[#This Row],[PRESELECCIÓN]]*9%,0)</f>
        <v>61</v>
      </c>
      <c r="K221" s="26">
        <f>Tabla95[[#This Row],[PRESELECCIÓN]]+Tabla95[[#This Row],[RESERVA (9%]]</f>
        <v>731</v>
      </c>
      <c r="L221" s="33">
        <f>ROUNDUP(Tabla95[[#This Row],[TOTAL (TITULARES + RESERVAS)]]*60%,0)</f>
        <v>439</v>
      </c>
      <c r="M221" s="33">
        <f>Tabla95[[#This Row],[TOTAL (TITULARES + RESERVAS)]]-Tabla95[[#This Row],[TURNO 1]]</f>
        <v>292</v>
      </c>
    </row>
    <row r="222" spans="1:13" x14ac:dyDescent="0.3">
      <c r="A222" s="25">
        <v>221</v>
      </c>
      <c r="B222" s="26" t="s">
        <v>456</v>
      </c>
      <c r="C222" s="26" t="s">
        <v>315</v>
      </c>
      <c r="D222" s="26" t="s">
        <v>473</v>
      </c>
      <c r="E222" s="26">
        <v>476</v>
      </c>
      <c r="F222" s="26">
        <v>286</v>
      </c>
      <c r="G222" s="26">
        <v>238</v>
      </c>
      <c r="H222" s="26">
        <v>237</v>
      </c>
      <c r="I222" s="27">
        <v>1</v>
      </c>
      <c r="J222" s="26">
        <f>ROUNDUP(Tabla95[[#This Row],[PRESELECCIÓN]]*9%,0)</f>
        <v>43</v>
      </c>
      <c r="K222" s="26">
        <f>Tabla95[[#This Row],[PRESELECCIÓN]]+Tabla95[[#This Row],[RESERVA (9%]]</f>
        <v>519</v>
      </c>
      <c r="L222" s="33">
        <f>ROUNDUP(Tabla95[[#This Row],[TOTAL (TITULARES + RESERVAS)]]*60%,0)</f>
        <v>312</v>
      </c>
      <c r="M222" s="33">
        <f>Tabla95[[#This Row],[TOTAL (TITULARES + RESERVAS)]]-Tabla95[[#This Row],[TURNO 1]]</f>
        <v>207</v>
      </c>
    </row>
    <row r="223" spans="1:13" x14ac:dyDescent="0.3">
      <c r="A223" s="25">
        <v>222</v>
      </c>
      <c r="B223" s="26" t="s">
        <v>456</v>
      </c>
      <c r="C223" s="26" t="s">
        <v>316</v>
      </c>
      <c r="D223" s="26" t="s">
        <v>471</v>
      </c>
      <c r="E223" s="26">
        <v>482</v>
      </c>
      <c r="F223" s="26">
        <v>284</v>
      </c>
      <c r="G223" s="26">
        <v>241</v>
      </c>
      <c r="H223" s="26">
        <v>241</v>
      </c>
      <c r="I223" s="28"/>
      <c r="J223" s="26">
        <f>ROUNDUP(Tabla95[[#This Row],[PRESELECCIÓN]]*9%,0)</f>
        <v>44</v>
      </c>
      <c r="K223" s="26">
        <f>Tabla95[[#This Row],[PRESELECCIÓN]]+Tabla95[[#This Row],[RESERVA (9%]]</f>
        <v>526</v>
      </c>
      <c r="L223" s="33">
        <f>ROUNDUP(Tabla95[[#This Row],[TOTAL (TITULARES + RESERVAS)]]*60%,0)</f>
        <v>316</v>
      </c>
      <c r="M223" s="33">
        <f>Tabla95[[#This Row],[TOTAL (TITULARES + RESERVAS)]]-Tabla95[[#This Row],[TURNO 1]]</f>
        <v>210</v>
      </c>
    </row>
    <row r="224" spans="1:13" x14ac:dyDescent="0.3">
      <c r="A224" s="25">
        <v>223</v>
      </c>
      <c r="B224" s="26" t="s">
        <v>456</v>
      </c>
      <c r="C224" s="26" t="s">
        <v>317</v>
      </c>
      <c r="D224" s="26" t="s">
        <v>317</v>
      </c>
      <c r="E224" s="26">
        <v>436</v>
      </c>
      <c r="F224" s="26">
        <v>260</v>
      </c>
      <c r="G224" s="26">
        <v>218</v>
      </c>
      <c r="H224" s="26">
        <v>213</v>
      </c>
      <c r="I224" s="27">
        <v>5</v>
      </c>
      <c r="J224" s="26">
        <f>ROUNDUP(Tabla95[[#This Row],[PRESELECCIÓN]]*9%,0)</f>
        <v>40</v>
      </c>
      <c r="K224" s="26">
        <f>Tabla95[[#This Row],[PRESELECCIÓN]]+Tabla95[[#This Row],[RESERVA (9%]]</f>
        <v>476</v>
      </c>
      <c r="L224" s="33">
        <f>ROUNDUP(Tabla95[[#This Row],[TOTAL (TITULARES + RESERVAS)]]*60%,0)</f>
        <v>286</v>
      </c>
      <c r="M224" s="33">
        <f>Tabla95[[#This Row],[TOTAL (TITULARES + RESERVAS)]]-Tabla95[[#This Row],[TURNO 1]]</f>
        <v>190</v>
      </c>
    </row>
    <row r="225" spans="1:13" x14ac:dyDescent="0.3">
      <c r="A225" s="25">
        <v>224</v>
      </c>
      <c r="B225" s="26" t="s">
        <v>456</v>
      </c>
      <c r="C225" s="26" t="s">
        <v>318</v>
      </c>
      <c r="D225" s="26" t="s">
        <v>456</v>
      </c>
      <c r="E225" s="26">
        <v>606</v>
      </c>
      <c r="F225" s="26">
        <v>359</v>
      </c>
      <c r="G225" s="26">
        <v>303</v>
      </c>
      <c r="H225" s="26">
        <v>294</v>
      </c>
      <c r="I225" s="27">
        <v>9</v>
      </c>
      <c r="J225" s="26">
        <f>ROUNDUP(Tabla95[[#This Row],[PRESELECCIÓN]]*9%,0)</f>
        <v>55</v>
      </c>
      <c r="K225" s="26">
        <f>Tabla95[[#This Row],[PRESELECCIÓN]]+Tabla95[[#This Row],[RESERVA (9%]]</f>
        <v>661</v>
      </c>
      <c r="L225" s="33">
        <f>ROUNDUP(Tabla95[[#This Row],[TOTAL (TITULARES + RESERVAS)]]*60%,0)</f>
        <v>397</v>
      </c>
      <c r="M225" s="33">
        <f>Tabla95[[#This Row],[TOTAL (TITULARES + RESERVAS)]]-Tabla95[[#This Row],[TURNO 1]]</f>
        <v>264</v>
      </c>
    </row>
    <row r="226" spans="1:13" x14ac:dyDescent="0.3">
      <c r="A226" s="25">
        <v>225</v>
      </c>
      <c r="B226" s="26" t="s">
        <v>456</v>
      </c>
      <c r="C226" s="26" t="s">
        <v>319</v>
      </c>
      <c r="D226" s="26" t="s">
        <v>456</v>
      </c>
      <c r="E226" s="26">
        <v>492</v>
      </c>
      <c r="F226" s="26">
        <v>295</v>
      </c>
      <c r="G226" s="26">
        <v>246</v>
      </c>
      <c r="H226" s="26">
        <v>243</v>
      </c>
      <c r="I226" s="27">
        <v>3</v>
      </c>
      <c r="J226" s="26">
        <f>ROUNDUP(Tabla95[[#This Row],[PRESELECCIÓN]]*9%,0)</f>
        <v>45</v>
      </c>
      <c r="K226" s="26">
        <f>Tabla95[[#This Row],[PRESELECCIÓN]]+Tabla95[[#This Row],[RESERVA (9%]]</f>
        <v>537</v>
      </c>
      <c r="L226" s="33">
        <f>ROUNDUP(Tabla95[[#This Row],[TOTAL (TITULARES + RESERVAS)]]*60%,0)</f>
        <v>323</v>
      </c>
      <c r="M226" s="33">
        <f>Tabla95[[#This Row],[TOTAL (TITULARES + RESERVAS)]]-Tabla95[[#This Row],[TURNO 1]]</f>
        <v>214</v>
      </c>
    </row>
    <row r="227" spans="1:13" x14ac:dyDescent="0.3">
      <c r="A227" s="25">
        <v>226</v>
      </c>
      <c r="B227" s="26" t="s">
        <v>456</v>
      </c>
      <c r="C227" s="26" t="s">
        <v>320</v>
      </c>
      <c r="D227" s="26" t="s">
        <v>456</v>
      </c>
      <c r="E227" s="26">
        <v>696</v>
      </c>
      <c r="F227" s="26">
        <v>415</v>
      </c>
      <c r="G227" s="26">
        <v>348</v>
      </c>
      <c r="H227" s="26">
        <v>340</v>
      </c>
      <c r="I227" s="27">
        <v>8</v>
      </c>
      <c r="J227" s="26">
        <f>ROUNDUP(Tabla95[[#This Row],[PRESELECCIÓN]]*9%,0)</f>
        <v>63</v>
      </c>
      <c r="K227" s="26">
        <f>Tabla95[[#This Row],[PRESELECCIÓN]]+Tabla95[[#This Row],[RESERVA (9%]]</f>
        <v>759</v>
      </c>
      <c r="L227" s="33">
        <f>ROUNDUP(Tabla95[[#This Row],[TOTAL (TITULARES + RESERVAS)]]*60%,0)</f>
        <v>456</v>
      </c>
      <c r="M227" s="33">
        <f>Tabla95[[#This Row],[TOTAL (TITULARES + RESERVAS)]]-Tabla95[[#This Row],[TURNO 1]]</f>
        <v>303</v>
      </c>
    </row>
    <row r="228" spans="1:13" x14ac:dyDescent="0.3">
      <c r="A228" s="25">
        <v>227</v>
      </c>
      <c r="B228" s="26" t="s">
        <v>456</v>
      </c>
      <c r="C228" s="26" t="s">
        <v>321</v>
      </c>
      <c r="D228" s="26" t="s">
        <v>456</v>
      </c>
      <c r="E228" s="26">
        <v>576</v>
      </c>
      <c r="F228" s="26">
        <v>343</v>
      </c>
      <c r="G228" s="26">
        <v>288</v>
      </c>
      <c r="H228" s="26">
        <v>282</v>
      </c>
      <c r="I228" s="27">
        <v>6</v>
      </c>
      <c r="J228" s="26">
        <f>ROUNDUP(Tabla95[[#This Row],[PRESELECCIÓN]]*9%,0)</f>
        <v>52</v>
      </c>
      <c r="K228" s="26">
        <f>Tabla95[[#This Row],[PRESELECCIÓN]]+Tabla95[[#This Row],[RESERVA (9%]]</f>
        <v>628</v>
      </c>
      <c r="L228" s="33">
        <f>ROUNDUP(Tabla95[[#This Row],[TOTAL (TITULARES + RESERVAS)]]*60%,0)</f>
        <v>377</v>
      </c>
      <c r="M228" s="33">
        <f>Tabla95[[#This Row],[TOTAL (TITULARES + RESERVAS)]]-Tabla95[[#This Row],[TURNO 1]]</f>
        <v>251</v>
      </c>
    </row>
    <row r="229" spans="1:13" x14ac:dyDescent="0.3">
      <c r="A229" s="25">
        <v>228</v>
      </c>
      <c r="B229" s="26" t="s">
        <v>456</v>
      </c>
      <c r="C229" s="26" t="s">
        <v>322</v>
      </c>
      <c r="D229" s="26" t="s">
        <v>322</v>
      </c>
      <c r="E229" s="26">
        <v>286</v>
      </c>
      <c r="F229" s="26">
        <v>173</v>
      </c>
      <c r="G229" s="26">
        <v>143</v>
      </c>
      <c r="H229" s="26">
        <v>141</v>
      </c>
      <c r="I229" s="27">
        <v>2</v>
      </c>
      <c r="J229" s="26">
        <f>ROUNDUP(Tabla95[[#This Row],[PRESELECCIÓN]]*9%,0)</f>
        <v>26</v>
      </c>
      <c r="K229" s="26">
        <f>Tabla95[[#This Row],[PRESELECCIÓN]]+Tabla95[[#This Row],[RESERVA (9%]]</f>
        <v>312</v>
      </c>
      <c r="L229" s="33">
        <f>ROUNDUP(Tabla95[[#This Row],[TOTAL (TITULARES + RESERVAS)]]*60%,0)</f>
        <v>188</v>
      </c>
      <c r="M229" s="33">
        <f>Tabla95[[#This Row],[TOTAL (TITULARES + RESERVAS)]]-Tabla95[[#This Row],[TURNO 1]]</f>
        <v>124</v>
      </c>
    </row>
    <row r="230" spans="1:13" x14ac:dyDescent="0.3">
      <c r="A230" s="25">
        <v>229</v>
      </c>
      <c r="B230" s="26" t="s">
        <v>456</v>
      </c>
      <c r="C230" s="26" t="s">
        <v>323</v>
      </c>
      <c r="D230" s="26" t="s">
        <v>460</v>
      </c>
      <c r="E230" s="26">
        <v>502</v>
      </c>
      <c r="F230" s="26">
        <v>301</v>
      </c>
      <c r="G230" s="26">
        <v>251</v>
      </c>
      <c r="H230" s="26">
        <v>239</v>
      </c>
      <c r="I230" s="27">
        <v>12</v>
      </c>
      <c r="J230" s="26">
        <f>ROUNDUP(Tabla95[[#This Row],[PRESELECCIÓN]]*9%,0)</f>
        <v>46</v>
      </c>
      <c r="K230" s="26">
        <f>Tabla95[[#This Row],[PRESELECCIÓN]]+Tabla95[[#This Row],[RESERVA (9%]]</f>
        <v>548</v>
      </c>
      <c r="L230" s="33">
        <f>ROUNDUP(Tabla95[[#This Row],[TOTAL (TITULARES + RESERVAS)]]*60%,0)</f>
        <v>329</v>
      </c>
      <c r="M230" s="33">
        <f>Tabla95[[#This Row],[TOTAL (TITULARES + RESERVAS)]]-Tabla95[[#This Row],[TURNO 1]]</f>
        <v>219</v>
      </c>
    </row>
    <row r="231" spans="1:13" x14ac:dyDescent="0.3">
      <c r="A231" s="25">
        <v>230</v>
      </c>
      <c r="B231" s="26" t="s">
        <v>456</v>
      </c>
      <c r="C231" s="26" t="s">
        <v>324</v>
      </c>
      <c r="D231" s="26" t="s">
        <v>460</v>
      </c>
      <c r="E231" s="26">
        <v>332</v>
      </c>
      <c r="F231" s="26">
        <v>202</v>
      </c>
      <c r="G231" s="26">
        <v>166</v>
      </c>
      <c r="H231" s="26">
        <v>163</v>
      </c>
      <c r="I231" s="27">
        <v>3</v>
      </c>
      <c r="J231" s="26">
        <f>ROUNDUP(Tabla95[[#This Row],[PRESELECCIÓN]]*9%,0)</f>
        <v>30</v>
      </c>
      <c r="K231" s="26">
        <f>Tabla95[[#This Row],[PRESELECCIÓN]]+Tabla95[[#This Row],[RESERVA (9%]]</f>
        <v>362</v>
      </c>
      <c r="L231" s="33">
        <f>ROUNDUP(Tabla95[[#This Row],[TOTAL (TITULARES + RESERVAS)]]*60%,0)</f>
        <v>218</v>
      </c>
      <c r="M231" s="33">
        <f>Tabla95[[#This Row],[TOTAL (TITULARES + RESERVAS)]]-Tabla95[[#This Row],[TURNO 1]]</f>
        <v>144</v>
      </c>
    </row>
    <row r="232" spans="1:13" x14ac:dyDescent="0.3">
      <c r="A232" s="25">
        <v>231</v>
      </c>
      <c r="B232" s="26" t="s">
        <v>456</v>
      </c>
      <c r="C232" s="26" t="s">
        <v>325</v>
      </c>
      <c r="D232" s="26" t="s">
        <v>455</v>
      </c>
      <c r="E232" s="26">
        <v>396</v>
      </c>
      <c r="F232" s="26">
        <v>244</v>
      </c>
      <c r="G232" s="26">
        <v>198</v>
      </c>
      <c r="H232" s="26">
        <v>194</v>
      </c>
      <c r="I232" s="27">
        <v>4</v>
      </c>
      <c r="J232" s="26">
        <f>ROUNDUP(Tabla95[[#This Row],[PRESELECCIÓN]]*9%,0)</f>
        <v>36</v>
      </c>
      <c r="K232" s="26">
        <f>Tabla95[[#This Row],[PRESELECCIÓN]]+Tabla95[[#This Row],[RESERVA (9%]]</f>
        <v>432</v>
      </c>
      <c r="L232" s="33">
        <f>ROUNDUP(Tabla95[[#This Row],[TOTAL (TITULARES + RESERVAS)]]*60%,0)</f>
        <v>260</v>
      </c>
      <c r="M232" s="33">
        <f>Tabla95[[#This Row],[TOTAL (TITULARES + RESERVAS)]]-Tabla95[[#This Row],[TURNO 1]]</f>
        <v>172</v>
      </c>
    </row>
    <row r="233" spans="1:13" x14ac:dyDescent="0.3">
      <c r="A233" s="25">
        <v>232</v>
      </c>
      <c r="B233" s="26" t="s">
        <v>332</v>
      </c>
      <c r="C233" s="26" t="s">
        <v>326</v>
      </c>
      <c r="D233" s="26" t="s">
        <v>326</v>
      </c>
      <c r="E233" s="26">
        <v>286</v>
      </c>
      <c r="F233" s="26">
        <v>178</v>
      </c>
      <c r="G233" s="26">
        <v>143</v>
      </c>
      <c r="H233" s="26">
        <v>143</v>
      </c>
      <c r="I233" s="28"/>
      <c r="J233" s="26">
        <f>ROUNDUP(Tabla95[[#This Row],[PRESELECCIÓN]]*9%,0)</f>
        <v>26</v>
      </c>
      <c r="K233" s="26">
        <f>Tabla95[[#This Row],[PRESELECCIÓN]]+Tabla95[[#This Row],[RESERVA (9%]]</f>
        <v>312</v>
      </c>
      <c r="L233" s="33">
        <f>ROUNDUP(Tabla95[[#This Row],[TOTAL (TITULARES + RESERVAS)]]*60%,0)</f>
        <v>188</v>
      </c>
      <c r="M233" s="33">
        <f>Tabla95[[#This Row],[TOTAL (TITULARES + RESERVAS)]]-Tabla95[[#This Row],[TURNO 1]]</f>
        <v>124</v>
      </c>
    </row>
    <row r="234" spans="1:13" x14ac:dyDescent="0.3">
      <c r="A234" s="25">
        <v>233</v>
      </c>
      <c r="B234" s="26" t="s">
        <v>332</v>
      </c>
      <c r="C234" s="26" t="s">
        <v>327</v>
      </c>
      <c r="D234" s="26" t="s">
        <v>452</v>
      </c>
      <c r="E234" s="26">
        <v>132</v>
      </c>
      <c r="F234" s="26">
        <v>82</v>
      </c>
      <c r="G234" s="26">
        <v>66</v>
      </c>
      <c r="H234" s="26">
        <v>66</v>
      </c>
      <c r="I234" s="28"/>
      <c r="J234" s="26">
        <f>ROUNDUP(Tabla95[[#This Row],[PRESELECCIÓN]]*9%,0)</f>
        <v>12</v>
      </c>
      <c r="K234" s="26">
        <f>Tabla95[[#This Row],[PRESELECCIÓN]]+Tabla95[[#This Row],[RESERVA (9%]]</f>
        <v>144</v>
      </c>
      <c r="L234" s="33">
        <f>ROUNDUP(Tabla95[[#This Row],[TOTAL (TITULARES + RESERVAS)]]*60%,0)</f>
        <v>87</v>
      </c>
      <c r="M234" s="33">
        <f>Tabla95[[#This Row],[TOTAL (TITULARES + RESERVAS)]]-Tabla95[[#This Row],[TURNO 1]]</f>
        <v>57</v>
      </c>
    </row>
    <row r="235" spans="1:13" x14ac:dyDescent="0.3">
      <c r="A235" s="25">
        <v>234</v>
      </c>
      <c r="B235" s="26" t="s">
        <v>332</v>
      </c>
      <c r="C235" s="26" t="s">
        <v>328</v>
      </c>
      <c r="D235" s="26" t="s">
        <v>450</v>
      </c>
      <c r="E235" s="26">
        <v>196</v>
      </c>
      <c r="F235" s="26">
        <v>120</v>
      </c>
      <c r="G235" s="26">
        <v>98</v>
      </c>
      <c r="H235" s="26">
        <v>96</v>
      </c>
      <c r="I235" s="27">
        <v>2</v>
      </c>
      <c r="J235" s="26">
        <f>ROUNDUP(Tabla95[[#This Row],[PRESELECCIÓN]]*9%,0)</f>
        <v>18</v>
      </c>
      <c r="K235" s="26">
        <f>Tabla95[[#This Row],[PRESELECCIÓN]]+Tabla95[[#This Row],[RESERVA (9%]]</f>
        <v>214</v>
      </c>
      <c r="L235" s="33">
        <f>ROUNDUP(Tabla95[[#This Row],[TOTAL (TITULARES + RESERVAS)]]*60%,0)</f>
        <v>129</v>
      </c>
      <c r="M235" s="33">
        <f>Tabla95[[#This Row],[TOTAL (TITULARES + RESERVAS)]]-Tabla95[[#This Row],[TURNO 1]]</f>
        <v>85</v>
      </c>
    </row>
    <row r="236" spans="1:13" x14ac:dyDescent="0.3">
      <c r="A236" s="25">
        <v>235</v>
      </c>
      <c r="B236" s="26" t="s">
        <v>332</v>
      </c>
      <c r="C236" s="26" t="s">
        <v>329</v>
      </c>
      <c r="D236" s="26" t="s">
        <v>448</v>
      </c>
      <c r="E236" s="26">
        <v>118</v>
      </c>
      <c r="F236" s="26">
        <v>73</v>
      </c>
      <c r="G236" s="26">
        <v>59</v>
      </c>
      <c r="H236" s="26">
        <v>59</v>
      </c>
      <c r="I236" s="28"/>
      <c r="J236" s="26">
        <f>ROUNDUP(Tabla95[[#This Row],[PRESELECCIÓN]]*9%,0)</f>
        <v>11</v>
      </c>
      <c r="K236" s="26">
        <f>Tabla95[[#This Row],[PRESELECCIÓN]]+Tabla95[[#This Row],[RESERVA (9%]]</f>
        <v>129</v>
      </c>
      <c r="L236" s="33">
        <f>ROUNDUP(Tabla95[[#This Row],[TOTAL (TITULARES + RESERVAS)]]*60%,0)</f>
        <v>78</v>
      </c>
      <c r="M236" s="33">
        <f>Tabla95[[#This Row],[TOTAL (TITULARES + RESERVAS)]]-Tabla95[[#This Row],[TURNO 1]]</f>
        <v>51</v>
      </c>
    </row>
    <row r="237" spans="1:13" x14ac:dyDescent="0.3">
      <c r="A237" s="25">
        <v>236</v>
      </c>
      <c r="B237" s="26" t="s">
        <v>332</v>
      </c>
      <c r="C237" s="26" t="s">
        <v>330</v>
      </c>
      <c r="D237" s="26" t="s">
        <v>446</v>
      </c>
      <c r="E237" s="26">
        <v>116</v>
      </c>
      <c r="F237" s="26">
        <v>73</v>
      </c>
      <c r="G237" s="26">
        <v>58</v>
      </c>
      <c r="H237" s="26">
        <v>58</v>
      </c>
      <c r="I237" s="28"/>
      <c r="J237" s="26">
        <f>ROUNDUP(Tabla95[[#This Row],[PRESELECCIÓN]]*9%,0)</f>
        <v>11</v>
      </c>
      <c r="K237" s="26">
        <f>Tabla95[[#This Row],[PRESELECCIÓN]]+Tabla95[[#This Row],[RESERVA (9%]]</f>
        <v>127</v>
      </c>
      <c r="L237" s="33">
        <f>ROUNDUP(Tabla95[[#This Row],[TOTAL (TITULARES + RESERVAS)]]*60%,0)</f>
        <v>77</v>
      </c>
      <c r="M237" s="33">
        <f>Tabla95[[#This Row],[TOTAL (TITULARES + RESERVAS)]]-Tabla95[[#This Row],[TURNO 1]]</f>
        <v>50</v>
      </c>
    </row>
    <row r="238" spans="1:13" x14ac:dyDescent="0.3">
      <c r="A238" s="25">
        <v>237</v>
      </c>
      <c r="B238" s="26" t="s">
        <v>332</v>
      </c>
      <c r="C238" s="26" t="s">
        <v>331</v>
      </c>
      <c r="D238" s="26" t="s">
        <v>444</v>
      </c>
      <c r="E238" s="26">
        <v>220</v>
      </c>
      <c r="F238" s="26">
        <v>135</v>
      </c>
      <c r="G238" s="26">
        <v>110</v>
      </c>
      <c r="H238" s="26">
        <v>110</v>
      </c>
      <c r="I238" s="28"/>
      <c r="J238" s="26">
        <f>ROUNDUP(Tabla95[[#This Row],[PRESELECCIÓN]]*9%,0)</f>
        <v>20</v>
      </c>
      <c r="K238" s="26">
        <f>Tabla95[[#This Row],[PRESELECCIÓN]]+Tabla95[[#This Row],[RESERVA (9%]]</f>
        <v>240</v>
      </c>
      <c r="L238" s="33">
        <f>ROUNDUP(Tabla95[[#This Row],[TOTAL (TITULARES + RESERVAS)]]*60%,0)</f>
        <v>144</v>
      </c>
      <c r="M238" s="33">
        <f>Tabla95[[#This Row],[TOTAL (TITULARES + RESERVAS)]]-Tabla95[[#This Row],[TURNO 1]]</f>
        <v>96</v>
      </c>
    </row>
    <row r="239" spans="1:13" x14ac:dyDescent="0.3">
      <c r="A239" s="25">
        <v>238</v>
      </c>
      <c r="B239" s="26" t="s">
        <v>332</v>
      </c>
      <c r="C239" s="26" t="s">
        <v>332</v>
      </c>
      <c r="D239" s="26" t="s">
        <v>332</v>
      </c>
      <c r="E239" s="26">
        <v>424</v>
      </c>
      <c r="F239" s="26">
        <v>262</v>
      </c>
      <c r="G239" s="26">
        <v>212</v>
      </c>
      <c r="H239" s="26">
        <v>212</v>
      </c>
      <c r="I239" s="28"/>
      <c r="J239" s="26">
        <f>ROUNDUP(Tabla95[[#This Row],[PRESELECCIÓN]]*9%,0)</f>
        <v>39</v>
      </c>
      <c r="K239" s="26">
        <f>Tabla95[[#This Row],[PRESELECCIÓN]]+Tabla95[[#This Row],[RESERVA (9%]]</f>
        <v>463</v>
      </c>
      <c r="L239" s="33">
        <f>ROUNDUP(Tabla95[[#This Row],[TOTAL (TITULARES + RESERVAS)]]*60%,0)</f>
        <v>278</v>
      </c>
      <c r="M239" s="33">
        <f>Tabla95[[#This Row],[TOTAL (TITULARES + RESERVAS)]]-Tabla95[[#This Row],[TURNO 1]]</f>
        <v>185</v>
      </c>
    </row>
    <row r="240" spans="1:13" x14ac:dyDescent="0.3">
      <c r="A240" s="25">
        <v>239</v>
      </c>
      <c r="B240" s="26" t="s">
        <v>332</v>
      </c>
      <c r="C240" s="26" t="s">
        <v>333</v>
      </c>
      <c r="D240" s="26" t="s">
        <v>441</v>
      </c>
      <c r="E240" s="26">
        <v>106</v>
      </c>
      <c r="F240" s="26">
        <v>64</v>
      </c>
      <c r="G240" s="26">
        <v>53</v>
      </c>
      <c r="H240" s="26">
        <v>53</v>
      </c>
      <c r="I240" s="28"/>
      <c r="J240" s="26">
        <f>ROUNDUP(Tabla95[[#This Row],[PRESELECCIÓN]]*9%,0)</f>
        <v>10</v>
      </c>
      <c r="K240" s="26">
        <f>Tabla95[[#This Row],[PRESELECCIÓN]]+Tabla95[[#This Row],[RESERVA (9%]]</f>
        <v>116</v>
      </c>
      <c r="L240" s="33">
        <f>ROUNDUP(Tabla95[[#This Row],[TOTAL (TITULARES + RESERVAS)]]*60%,0)</f>
        <v>70</v>
      </c>
      <c r="M240" s="33">
        <f>Tabla95[[#This Row],[TOTAL (TITULARES + RESERVAS)]]-Tabla95[[#This Row],[TURNO 1]]</f>
        <v>46</v>
      </c>
    </row>
    <row r="241" spans="1:13" x14ac:dyDescent="0.3">
      <c r="A241" s="25">
        <v>240</v>
      </c>
      <c r="B241" s="26" t="s">
        <v>332</v>
      </c>
      <c r="C241" s="26" t="s">
        <v>334</v>
      </c>
      <c r="D241" s="26" t="s">
        <v>437</v>
      </c>
      <c r="E241" s="26">
        <v>454</v>
      </c>
      <c r="F241" s="26">
        <v>275</v>
      </c>
      <c r="G241" s="26">
        <v>227</v>
      </c>
      <c r="H241" s="26">
        <v>227</v>
      </c>
      <c r="I241" s="28"/>
      <c r="J241" s="26">
        <f>ROUNDUP(Tabla95[[#This Row],[PRESELECCIÓN]]*9%,0)</f>
        <v>41</v>
      </c>
      <c r="K241" s="26">
        <f>Tabla95[[#This Row],[PRESELECCIÓN]]+Tabla95[[#This Row],[RESERVA (9%]]</f>
        <v>495</v>
      </c>
      <c r="L241" s="33">
        <f>ROUNDUP(Tabla95[[#This Row],[TOTAL (TITULARES + RESERVAS)]]*60%,0)</f>
        <v>297</v>
      </c>
      <c r="M241" s="33">
        <f>Tabla95[[#This Row],[TOTAL (TITULARES + RESERVAS)]]-Tabla95[[#This Row],[TURNO 1]]</f>
        <v>198</v>
      </c>
    </row>
    <row r="242" spans="1:13" x14ac:dyDescent="0.3">
      <c r="A242" s="25">
        <v>241</v>
      </c>
      <c r="B242" s="26" t="s">
        <v>332</v>
      </c>
      <c r="C242" s="26" t="s">
        <v>335</v>
      </c>
      <c r="D242" s="26" t="s">
        <v>437</v>
      </c>
      <c r="E242" s="26">
        <v>566</v>
      </c>
      <c r="F242" s="26">
        <v>340</v>
      </c>
      <c r="G242" s="26">
        <v>283</v>
      </c>
      <c r="H242" s="26">
        <v>281</v>
      </c>
      <c r="I242" s="27">
        <v>2</v>
      </c>
      <c r="J242" s="26">
        <f>ROUNDUP(Tabla95[[#This Row],[PRESELECCIÓN]]*9%,0)</f>
        <v>51</v>
      </c>
      <c r="K242" s="26">
        <f>Tabla95[[#This Row],[PRESELECCIÓN]]+Tabla95[[#This Row],[RESERVA (9%]]</f>
        <v>617</v>
      </c>
      <c r="L242" s="33">
        <f>ROUNDUP(Tabla95[[#This Row],[TOTAL (TITULARES + RESERVAS)]]*60%,0)</f>
        <v>371</v>
      </c>
      <c r="M242" s="33">
        <f>Tabla95[[#This Row],[TOTAL (TITULARES + RESERVAS)]]-Tabla95[[#This Row],[TURNO 1]]</f>
        <v>246</v>
      </c>
    </row>
    <row r="243" spans="1:13" x14ac:dyDescent="0.3">
      <c r="A243" s="25">
        <v>242</v>
      </c>
      <c r="B243" s="26" t="s">
        <v>332</v>
      </c>
      <c r="C243" s="26" t="s">
        <v>336</v>
      </c>
      <c r="D243" s="26" t="s">
        <v>336</v>
      </c>
      <c r="E243" s="26">
        <v>174</v>
      </c>
      <c r="F243" s="26">
        <v>103</v>
      </c>
      <c r="G243" s="26">
        <v>87</v>
      </c>
      <c r="H243" s="26">
        <v>87</v>
      </c>
      <c r="I243" s="28"/>
      <c r="J243" s="26">
        <f>ROUNDUP(Tabla95[[#This Row],[PRESELECCIÓN]]*9%,0)</f>
        <v>16</v>
      </c>
      <c r="K243" s="26">
        <f>Tabla95[[#This Row],[PRESELECCIÓN]]+Tabla95[[#This Row],[RESERVA (9%]]</f>
        <v>190</v>
      </c>
      <c r="L243" s="33">
        <f>ROUNDUP(Tabla95[[#This Row],[TOTAL (TITULARES + RESERVAS)]]*60%,0)</f>
        <v>114</v>
      </c>
      <c r="M243" s="33">
        <f>Tabla95[[#This Row],[TOTAL (TITULARES + RESERVAS)]]-Tabla95[[#This Row],[TURNO 1]]</f>
        <v>76</v>
      </c>
    </row>
    <row r="244" spans="1:13" x14ac:dyDescent="0.3">
      <c r="A244" s="25">
        <v>243</v>
      </c>
      <c r="B244" s="26" t="s">
        <v>332</v>
      </c>
      <c r="C244" s="26" t="s">
        <v>337</v>
      </c>
      <c r="D244" s="26" t="s">
        <v>337</v>
      </c>
      <c r="E244" s="26">
        <v>76</v>
      </c>
      <c r="F244" s="26">
        <v>48</v>
      </c>
      <c r="G244" s="26">
        <v>38</v>
      </c>
      <c r="H244" s="26">
        <v>38</v>
      </c>
      <c r="I244" s="28"/>
      <c r="J244" s="26">
        <f>ROUNDUP(Tabla95[[#This Row],[PRESELECCIÓN]]*9%,0)</f>
        <v>7</v>
      </c>
      <c r="K244" s="26">
        <f>Tabla95[[#This Row],[PRESELECCIÓN]]+Tabla95[[#This Row],[RESERVA (9%]]</f>
        <v>83</v>
      </c>
      <c r="L244" s="33">
        <f>ROUNDUP(Tabla95[[#This Row],[TOTAL (TITULARES + RESERVAS)]]*60%,0)</f>
        <v>50</v>
      </c>
      <c r="M244" s="33">
        <f>Tabla95[[#This Row],[TOTAL (TITULARES + RESERVAS)]]-Tabla95[[#This Row],[TURNO 1]]</f>
        <v>33</v>
      </c>
    </row>
    <row r="245" spans="1:13" ht="18" x14ac:dyDescent="0.3">
      <c r="A245" s="25">
        <v>244</v>
      </c>
      <c r="B245" s="26" t="s">
        <v>423</v>
      </c>
      <c r="C245" s="26" t="s">
        <v>338</v>
      </c>
      <c r="D245" s="26" t="s">
        <v>428</v>
      </c>
      <c r="E245" s="26">
        <v>204</v>
      </c>
      <c r="F245" s="26">
        <v>123</v>
      </c>
      <c r="G245" s="26">
        <v>102</v>
      </c>
      <c r="H245" s="26">
        <v>102</v>
      </c>
      <c r="I245" s="28"/>
      <c r="J245" s="26">
        <f>ROUNDUP(Tabla95[[#This Row],[PRESELECCIÓN]]*9%,0)</f>
        <v>19</v>
      </c>
      <c r="K245" s="26">
        <f>Tabla95[[#This Row],[PRESELECCIÓN]]+Tabla95[[#This Row],[RESERVA (9%]]</f>
        <v>223</v>
      </c>
      <c r="L245" s="33">
        <f>ROUNDUP(Tabla95[[#This Row],[TOTAL (TITULARES + RESERVAS)]]*60%,0)</f>
        <v>134</v>
      </c>
      <c r="M245" s="33">
        <f>Tabla95[[#This Row],[TOTAL (TITULARES + RESERVAS)]]-Tabla95[[#This Row],[TURNO 1]]</f>
        <v>89</v>
      </c>
    </row>
    <row r="246" spans="1:13" ht="18" x14ac:dyDescent="0.3">
      <c r="A246" s="25">
        <v>245</v>
      </c>
      <c r="B246" s="26" t="s">
        <v>423</v>
      </c>
      <c r="C246" s="26" t="s">
        <v>339</v>
      </c>
      <c r="D246" s="26" t="s">
        <v>339</v>
      </c>
      <c r="E246" s="26">
        <v>358</v>
      </c>
      <c r="F246" s="26">
        <v>215</v>
      </c>
      <c r="G246" s="26">
        <v>179</v>
      </c>
      <c r="H246" s="26">
        <v>178</v>
      </c>
      <c r="I246" s="27">
        <v>1</v>
      </c>
      <c r="J246" s="26">
        <f>ROUNDUP(Tabla95[[#This Row],[PRESELECCIÓN]]*9%,0)</f>
        <v>33</v>
      </c>
      <c r="K246" s="26">
        <f>Tabla95[[#This Row],[PRESELECCIÓN]]+Tabla95[[#This Row],[RESERVA (9%]]</f>
        <v>391</v>
      </c>
      <c r="L246" s="33">
        <f>ROUNDUP(Tabla95[[#This Row],[TOTAL (TITULARES + RESERVAS)]]*60%,0)</f>
        <v>235</v>
      </c>
      <c r="M246" s="33">
        <f>Tabla95[[#This Row],[TOTAL (TITULARES + RESERVAS)]]-Tabla95[[#This Row],[TURNO 1]]</f>
        <v>156</v>
      </c>
    </row>
    <row r="247" spans="1:13" ht="18" x14ac:dyDescent="0.3">
      <c r="A247" s="25">
        <v>246</v>
      </c>
      <c r="B247" s="26" t="s">
        <v>423</v>
      </c>
      <c r="C247" s="26" t="s">
        <v>340</v>
      </c>
      <c r="D247" s="26" t="s">
        <v>340</v>
      </c>
      <c r="E247" s="26">
        <v>570</v>
      </c>
      <c r="F247" s="26">
        <v>342</v>
      </c>
      <c r="G247" s="26">
        <v>285</v>
      </c>
      <c r="H247" s="26">
        <v>281</v>
      </c>
      <c r="I247" s="27">
        <v>4</v>
      </c>
      <c r="J247" s="26">
        <f>ROUNDUP(Tabla95[[#This Row],[PRESELECCIÓN]]*9%,0)</f>
        <v>52</v>
      </c>
      <c r="K247" s="26">
        <f>Tabla95[[#This Row],[PRESELECCIÓN]]+Tabla95[[#This Row],[RESERVA (9%]]</f>
        <v>622</v>
      </c>
      <c r="L247" s="33">
        <f>ROUNDUP(Tabla95[[#This Row],[TOTAL (TITULARES + RESERVAS)]]*60%,0)</f>
        <v>374</v>
      </c>
      <c r="M247" s="33">
        <f>Tabla95[[#This Row],[TOTAL (TITULARES + RESERVAS)]]-Tabla95[[#This Row],[TURNO 1]]</f>
        <v>248</v>
      </c>
    </row>
    <row r="248" spans="1:13" ht="18" x14ac:dyDescent="0.3">
      <c r="A248" s="25">
        <v>247</v>
      </c>
      <c r="B248" s="26" t="s">
        <v>423</v>
      </c>
      <c r="C248" s="26" t="s">
        <v>170</v>
      </c>
      <c r="D248" s="26" t="s">
        <v>170</v>
      </c>
      <c r="E248" s="26">
        <v>464</v>
      </c>
      <c r="F248" s="26">
        <v>282</v>
      </c>
      <c r="G248" s="26">
        <v>232</v>
      </c>
      <c r="H248" s="26">
        <v>230</v>
      </c>
      <c r="I248" s="27">
        <v>2</v>
      </c>
      <c r="J248" s="26">
        <f>ROUNDUP(Tabla95[[#This Row],[PRESELECCIÓN]]*9%,0)</f>
        <v>42</v>
      </c>
      <c r="K248" s="26">
        <f>Tabla95[[#This Row],[PRESELECCIÓN]]+Tabla95[[#This Row],[RESERVA (9%]]</f>
        <v>506</v>
      </c>
      <c r="L248" s="33">
        <f>ROUNDUP(Tabla95[[#This Row],[TOTAL (TITULARES + RESERVAS)]]*60%,0)</f>
        <v>304</v>
      </c>
      <c r="M248" s="33">
        <f>Tabla95[[#This Row],[TOTAL (TITULARES + RESERVAS)]]-Tabla95[[#This Row],[TURNO 1]]</f>
        <v>202</v>
      </c>
    </row>
    <row r="249" spans="1:13" ht="18" x14ac:dyDescent="0.3">
      <c r="A249" s="25">
        <v>248</v>
      </c>
      <c r="B249" s="26" t="s">
        <v>408</v>
      </c>
      <c r="C249" s="26" t="s">
        <v>341</v>
      </c>
      <c r="D249" s="26" t="s">
        <v>421</v>
      </c>
      <c r="E249" s="26">
        <v>656</v>
      </c>
      <c r="F249" s="26">
        <v>385</v>
      </c>
      <c r="G249" s="26">
        <v>328</v>
      </c>
      <c r="H249" s="26">
        <v>320</v>
      </c>
      <c r="I249" s="27">
        <v>8</v>
      </c>
      <c r="J249" s="26">
        <f>ROUNDUP(Tabla95[[#This Row],[PRESELECCIÓN]]*9%,0)</f>
        <v>60</v>
      </c>
      <c r="K249" s="26">
        <f>Tabla95[[#This Row],[PRESELECCIÓN]]+Tabla95[[#This Row],[RESERVA (9%]]</f>
        <v>716</v>
      </c>
      <c r="L249" s="33">
        <f>ROUNDUP(Tabla95[[#This Row],[TOTAL (TITULARES + RESERVAS)]]*60%,0)</f>
        <v>430</v>
      </c>
      <c r="M249" s="33">
        <f>Tabla95[[#This Row],[TOTAL (TITULARES + RESERVAS)]]-Tabla95[[#This Row],[TURNO 1]]</f>
        <v>286</v>
      </c>
    </row>
    <row r="250" spans="1:13" ht="18" x14ac:dyDescent="0.3">
      <c r="A250" s="25">
        <v>249</v>
      </c>
      <c r="B250" s="26" t="s">
        <v>408</v>
      </c>
      <c r="C250" s="26" t="s">
        <v>343</v>
      </c>
      <c r="D250" s="26" t="s">
        <v>343</v>
      </c>
      <c r="E250" s="26">
        <v>326</v>
      </c>
      <c r="F250" s="26">
        <v>195</v>
      </c>
      <c r="G250" s="26">
        <v>163</v>
      </c>
      <c r="H250" s="26">
        <v>163</v>
      </c>
      <c r="I250" s="28"/>
      <c r="J250" s="26">
        <f>ROUNDUP(Tabla95[[#This Row],[PRESELECCIÓN]]*9%,0)</f>
        <v>30</v>
      </c>
      <c r="K250" s="26">
        <f>Tabla95[[#This Row],[PRESELECCIÓN]]+Tabla95[[#This Row],[RESERVA (9%]]</f>
        <v>356</v>
      </c>
      <c r="L250" s="33">
        <f>ROUNDUP(Tabla95[[#This Row],[TOTAL (TITULARES + RESERVAS)]]*60%,0)</f>
        <v>214</v>
      </c>
      <c r="M250" s="33">
        <f>Tabla95[[#This Row],[TOTAL (TITULARES + RESERVAS)]]-Tabla95[[#This Row],[TURNO 1]]</f>
        <v>142</v>
      </c>
    </row>
    <row r="251" spans="1:13" ht="18" x14ac:dyDescent="0.3">
      <c r="A251" s="25">
        <v>250</v>
      </c>
      <c r="B251" s="26" t="s">
        <v>408</v>
      </c>
      <c r="C251" s="26" t="s">
        <v>344</v>
      </c>
      <c r="D251" s="26" t="s">
        <v>418</v>
      </c>
      <c r="E251" s="26">
        <v>306</v>
      </c>
      <c r="F251" s="26">
        <v>178</v>
      </c>
      <c r="G251" s="26">
        <v>153</v>
      </c>
      <c r="H251" s="26">
        <v>153</v>
      </c>
      <c r="I251" s="28"/>
      <c r="J251" s="26">
        <f>ROUNDUP(Tabla95[[#This Row],[PRESELECCIÓN]]*9%,0)</f>
        <v>28</v>
      </c>
      <c r="K251" s="26">
        <f>Tabla95[[#This Row],[PRESELECCIÓN]]+Tabla95[[#This Row],[RESERVA (9%]]</f>
        <v>334</v>
      </c>
      <c r="L251" s="33">
        <f>ROUNDUP(Tabla95[[#This Row],[TOTAL (TITULARES + RESERVAS)]]*60%,0)</f>
        <v>201</v>
      </c>
      <c r="M251" s="33">
        <f>Tabla95[[#This Row],[TOTAL (TITULARES + RESERVAS)]]-Tabla95[[#This Row],[TURNO 1]]</f>
        <v>133</v>
      </c>
    </row>
    <row r="252" spans="1:13" ht="18" x14ac:dyDescent="0.3">
      <c r="A252" s="25">
        <v>251</v>
      </c>
      <c r="B252" s="26" t="s">
        <v>408</v>
      </c>
      <c r="C252" s="26" t="s">
        <v>345</v>
      </c>
      <c r="D252" s="26" t="s">
        <v>416</v>
      </c>
      <c r="E252" s="26">
        <v>146</v>
      </c>
      <c r="F252" s="26">
        <v>87</v>
      </c>
      <c r="G252" s="26">
        <v>73</v>
      </c>
      <c r="H252" s="26">
        <v>73</v>
      </c>
      <c r="I252" s="28"/>
      <c r="J252" s="26">
        <f>ROUNDUP(Tabla95[[#This Row],[PRESELECCIÓN]]*9%,0)</f>
        <v>14</v>
      </c>
      <c r="K252" s="26">
        <f>Tabla95[[#This Row],[PRESELECCIÓN]]+Tabla95[[#This Row],[RESERVA (9%]]</f>
        <v>160</v>
      </c>
      <c r="L252" s="33">
        <f>ROUNDUP(Tabla95[[#This Row],[TOTAL (TITULARES + RESERVAS)]]*60%,0)</f>
        <v>96</v>
      </c>
      <c r="M252" s="33">
        <f>Tabla95[[#This Row],[TOTAL (TITULARES + RESERVAS)]]-Tabla95[[#This Row],[TURNO 1]]</f>
        <v>64</v>
      </c>
    </row>
    <row r="253" spans="1:13" ht="18" x14ac:dyDescent="0.3">
      <c r="A253" s="25">
        <v>252</v>
      </c>
      <c r="B253" s="26" t="s">
        <v>408</v>
      </c>
      <c r="C253" s="26" t="s">
        <v>346</v>
      </c>
      <c r="D253" s="26" t="s">
        <v>414</v>
      </c>
      <c r="E253" s="26">
        <v>302</v>
      </c>
      <c r="F253" s="26">
        <v>182</v>
      </c>
      <c r="G253" s="26">
        <v>151</v>
      </c>
      <c r="H253" s="26">
        <v>149</v>
      </c>
      <c r="I253" s="27">
        <v>2</v>
      </c>
      <c r="J253" s="26">
        <f>ROUNDUP(Tabla95[[#This Row],[PRESELECCIÓN]]*9%,0)</f>
        <v>28</v>
      </c>
      <c r="K253" s="26">
        <f>Tabla95[[#This Row],[PRESELECCIÓN]]+Tabla95[[#This Row],[RESERVA (9%]]</f>
        <v>330</v>
      </c>
      <c r="L253" s="33">
        <f>ROUNDUP(Tabla95[[#This Row],[TOTAL (TITULARES + RESERVAS)]]*60%,0)</f>
        <v>198</v>
      </c>
      <c r="M253" s="33">
        <f>Tabla95[[#This Row],[TOTAL (TITULARES + RESERVAS)]]-Tabla95[[#This Row],[TURNO 1]]</f>
        <v>132</v>
      </c>
    </row>
    <row r="254" spans="1:13" ht="18" x14ac:dyDescent="0.3">
      <c r="A254" s="25">
        <v>253</v>
      </c>
      <c r="B254" s="26" t="s">
        <v>408</v>
      </c>
      <c r="C254" s="26" t="s">
        <v>347</v>
      </c>
      <c r="D254" s="26" t="s">
        <v>347</v>
      </c>
      <c r="E254" s="26">
        <v>256</v>
      </c>
      <c r="F254" s="26">
        <v>154</v>
      </c>
      <c r="G254" s="26">
        <v>128</v>
      </c>
      <c r="H254" s="26">
        <v>128</v>
      </c>
      <c r="I254" s="28"/>
      <c r="J254" s="26">
        <f>ROUNDUP(Tabla95[[#This Row],[PRESELECCIÓN]]*9%,0)</f>
        <v>24</v>
      </c>
      <c r="K254" s="26">
        <f>Tabla95[[#This Row],[PRESELECCIÓN]]+Tabla95[[#This Row],[RESERVA (9%]]</f>
        <v>280</v>
      </c>
      <c r="L254" s="33">
        <f>ROUNDUP(Tabla95[[#This Row],[TOTAL (TITULARES + RESERVAS)]]*60%,0)</f>
        <v>168</v>
      </c>
      <c r="M254" s="33">
        <f>Tabla95[[#This Row],[TOTAL (TITULARES + RESERVAS)]]-Tabla95[[#This Row],[TURNO 1]]</f>
        <v>112</v>
      </c>
    </row>
    <row r="255" spans="1:13" ht="18" x14ac:dyDescent="0.3">
      <c r="A255" s="25">
        <v>254</v>
      </c>
      <c r="B255" s="26" t="s">
        <v>408</v>
      </c>
      <c r="C255" s="26" t="s">
        <v>348</v>
      </c>
      <c r="D255" s="26" t="s">
        <v>411</v>
      </c>
      <c r="E255" s="26">
        <v>632</v>
      </c>
      <c r="F255" s="26">
        <v>371</v>
      </c>
      <c r="G255" s="26">
        <v>316</v>
      </c>
      <c r="H255" s="26">
        <v>307</v>
      </c>
      <c r="I255" s="27">
        <v>9</v>
      </c>
      <c r="J255" s="26">
        <f>ROUNDUP(Tabla95[[#This Row],[PRESELECCIÓN]]*9%,0)</f>
        <v>57</v>
      </c>
      <c r="K255" s="26">
        <f>Tabla95[[#This Row],[PRESELECCIÓN]]+Tabla95[[#This Row],[RESERVA (9%]]</f>
        <v>689</v>
      </c>
      <c r="L255" s="33">
        <f>ROUNDUP(Tabla95[[#This Row],[TOTAL (TITULARES + RESERVAS)]]*60%,0)</f>
        <v>414</v>
      </c>
      <c r="M255" s="33">
        <f>Tabla95[[#This Row],[TOTAL (TITULARES + RESERVAS)]]-Tabla95[[#This Row],[TURNO 1]]</f>
        <v>275</v>
      </c>
    </row>
    <row r="256" spans="1:13" ht="18" x14ac:dyDescent="0.3">
      <c r="A256" s="25">
        <v>255</v>
      </c>
      <c r="B256" s="26" t="s">
        <v>408</v>
      </c>
      <c r="C256" s="26" t="s">
        <v>349</v>
      </c>
      <c r="D256" s="26" t="s">
        <v>349</v>
      </c>
      <c r="E256" s="26">
        <v>314</v>
      </c>
      <c r="F256" s="26">
        <v>194</v>
      </c>
      <c r="G256" s="26">
        <v>157</v>
      </c>
      <c r="H256" s="26">
        <v>155</v>
      </c>
      <c r="I256" s="27">
        <v>2</v>
      </c>
      <c r="J256" s="26">
        <f>ROUNDUP(Tabla95[[#This Row],[PRESELECCIÓN]]*9%,0)</f>
        <v>29</v>
      </c>
      <c r="K256" s="26">
        <f>Tabla95[[#This Row],[PRESELECCIÓN]]+Tabla95[[#This Row],[RESERVA (9%]]</f>
        <v>343</v>
      </c>
      <c r="L256" s="33">
        <f>ROUNDUP(Tabla95[[#This Row],[TOTAL (TITULARES + RESERVAS)]]*60%,0)</f>
        <v>206</v>
      </c>
      <c r="M256" s="33">
        <f>Tabla95[[#This Row],[TOTAL (TITULARES + RESERVAS)]]-Tabla95[[#This Row],[TURNO 1]]</f>
        <v>137</v>
      </c>
    </row>
    <row r="257" spans="1:13" x14ac:dyDescent="0.3">
      <c r="A257" s="25">
        <v>256</v>
      </c>
      <c r="B257" s="26" t="s">
        <v>401</v>
      </c>
      <c r="C257" s="26" t="s">
        <v>350</v>
      </c>
      <c r="D257" s="26" t="s">
        <v>401</v>
      </c>
      <c r="E257" s="26">
        <v>490</v>
      </c>
      <c r="F257" s="26">
        <v>298</v>
      </c>
      <c r="G257" s="26">
        <v>245</v>
      </c>
      <c r="H257" s="26">
        <v>236</v>
      </c>
      <c r="I257" s="27">
        <v>9</v>
      </c>
      <c r="J257" s="26">
        <f>ROUNDUP(Tabla95[[#This Row],[PRESELECCIÓN]]*9%,0)</f>
        <v>45</v>
      </c>
      <c r="K257" s="26">
        <f>Tabla95[[#This Row],[PRESELECCIÓN]]+Tabla95[[#This Row],[RESERVA (9%]]</f>
        <v>535</v>
      </c>
      <c r="L257" s="33">
        <f>ROUNDUP(Tabla95[[#This Row],[TOTAL (TITULARES + RESERVAS)]]*60%,0)</f>
        <v>321</v>
      </c>
      <c r="M257" s="33">
        <f>Tabla95[[#This Row],[TOTAL (TITULARES + RESERVAS)]]-Tabla95[[#This Row],[TURNO 1]]</f>
        <v>214</v>
      </c>
    </row>
    <row r="258" spans="1:13" ht="18" x14ac:dyDescent="0.3">
      <c r="A258" s="25">
        <v>257</v>
      </c>
      <c r="B258" s="26" t="s">
        <v>401</v>
      </c>
      <c r="C258" s="26" t="s">
        <v>351</v>
      </c>
      <c r="D258" s="26" t="s">
        <v>401</v>
      </c>
      <c r="E258" s="26">
        <v>446</v>
      </c>
      <c r="F258" s="26">
        <v>273</v>
      </c>
      <c r="G258" s="26">
        <v>223</v>
      </c>
      <c r="H258" s="26">
        <v>211</v>
      </c>
      <c r="I258" s="27">
        <v>12</v>
      </c>
      <c r="J258" s="26">
        <f>ROUNDUP(Tabla95[[#This Row],[PRESELECCIÓN]]*9%,0)</f>
        <v>41</v>
      </c>
      <c r="K258" s="26">
        <f>Tabla95[[#This Row],[PRESELECCIÓN]]+Tabla95[[#This Row],[RESERVA (9%]]</f>
        <v>487</v>
      </c>
      <c r="L258" s="33">
        <f>ROUNDUP(Tabla95[[#This Row],[TOTAL (TITULARES + RESERVAS)]]*60%,0)</f>
        <v>293</v>
      </c>
      <c r="M258" s="33">
        <f>Tabla95[[#This Row],[TOTAL (TITULARES + RESERVAS)]]-Tabla95[[#This Row],[TURNO 1]]</f>
        <v>194</v>
      </c>
    </row>
    <row r="259" spans="1:13" x14ac:dyDescent="0.3">
      <c r="A259" s="25">
        <v>258</v>
      </c>
      <c r="B259" s="26" t="s">
        <v>395</v>
      </c>
      <c r="C259" s="26" t="s">
        <v>352</v>
      </c>
      <c r="D259" s="26" t="s">
        <v>395</v>
      </c>
      <c r="E259" s="26">
        <v>372</v>
      </c>
      <c r="F259" s="26">
        <v>226</v>
      </c>
      <c r="G259" s="26">
        <v>186</v>
      </c>
      <c r="H259" s="26">
        <v>184</v>
      </c>
      <c r="I259" s="27">
        <v>2</v>
      </c>
      <c r="J259" s="26">
        <f>ROUNDUP(Tabla95[[#This Row],[PRESELECCIÓN]]*9%,0)</f>
        <v>34</v>
      </c>
      <c r="K259" s="26">
        <f>Tabla95[[#This Row],[PRESELECCIÓN]]+Tabla95[[#This Row],[RESERVA (9%]]</f>
        <v>406</v>
      </c>
      <c r="L259" s="33">
        <f>ROUNDUP(Tabla95[[#This Row],[TOTAL (TITULARES + RESERVAS)]]*60%,0)</f>
        <v>244</v>
      </c>
      <c r="M259" s="33">
        <f>Tabla95[[#This Row],[TOTAL (TITULARES + RESERVAS)]]-Tabla95[[#This Row],[TURNO 1]]</f>
        <v>162</v>
      </c>
    </row>
    <row r="260" spans="1:13" ht="18" x14ac:dyDescent="0.3">
      <c r="A260" s="25">
        <v>259</v>
      </c>
      <c r="B260" s="26" t="s">
        <v>395</v>
      </c>
      <c r="C260" s="26" t="s">
        <v>353</v>
      </c>
      <c r="D260" s="26" t="s">
        <v>395</v>
      </c>
      <c r="E260" s="26">
        <v>300</v>
      </c>
      <c r="F260" s="26">
        <v>185</v>
      </c>
      <c r="G260" s="26">
        <v>150</v>
      </c>
      <c r="H260" s="26">
        <v>144</v>
      </c>
      <c r="I260" s="27">
        <v>6</v>
      </c>
      <c r="J260" s="26">
        <f>ROUNDUP(Tabla95[[#This Row],[PRESELECCIÓN]]*9%,0)</f>
        <v>27</v>
      </c>
      <c r="K260" s="26">
        <f>Tabla95[[#This Row],[PRESELECCIÓN]]+Tabla95[[#This Row],[RESERVA (9%]]</f>
        <v>327</v>
      </c>
      <c r="L260" s="33">
        <f>ROUNDUP(Tabla95[[#This Row],[TOTAL (TITULARES + RESERVAS)]]*60%,0)</f>
        <v>197</v>
      </c>
      <c r="M260" s="33">
        <f>Tabla95[[#This Row],[TOTAL (TITULARES + RESERVAS)]]-Tabla95[[#This Row],[TURNO 1]]</f>
        <v>130</v>
      </c>
    </row>
    <row r="261" spans="1:13" x14ac:dyDescent="0.3">
      <c r="A261" s="25">
        <v>260</v>
      </c>
      <c r="B261" s="26" t="s">
        <v>395</v>
      </c>
      <c r="C261" s="26" t="s">
        <v>354</v>
      </c>
      <c r="D261" s="26" t="s">
        <v>354</v>
      </c>
      <c r="E261" s="26">
        <v>192</v>
      </c>
      <c r="F261" s="26">
        <v>117</v>
      </c>
      <c r="G261" s="26">
        <v>96</v>
      </c>
      <c r="H261" s="26">
        <v>94</v>
      </c>
      <c r="I261" s="27">
        <v>2</v>
      </c>
      <c r="J261" s="26">
        <f>ROUNDUP(Tabla95[[#This Row],[PRESELECCIÓN]]*9%,0)</f>
        <v>18</v>
      </c>
      <c r="K261" s="26">
        <f>Tabla95[[#This Row],[PRESELECCIÓN]]+Tabla95[[#This Row],[RESERVA (9%]]</f>
        <v>210</v>
      </c>
      <c r="L261" s="33">
        <f>ROUNDUP(Tabla95[[#This Row],[TOTAL (TITULARES + RESERVAS)]]*60%,0)</f>
        <v>126</v>
      </c>
      <c r="M261" s="33">
        <f>Tabla95[[#This Row],[TOTAL (TITULARES + RESERVAS)]]-Tabla95[[#This Row],[TURNO 1]]</f>
        <v>84</v>
      </c>
    </row>
    <row r="262" spans="1:13" x14ac:dyDescent="0.3">
      <c r="A262" s="25">
        <v>261</v>
      </c>
      <c r="B262" s="26" t="s">
        <v>360</v>
      </c>
      <c r="C262" s="26" t="s">
        <v>128</v>
      </c>
      <c r="D262" s="26" t="s">
        <v>393</v>
      </c>
      <c r="E262" s="26">
        <v>314</v>
      </c>
      <c r="F262" s="26">
        <v>186</v>
      </c>
      <c r="G262" s="26">
        <v>157</v>
      </c>
      <c r="H262" s="26">
        <v>155</v>
      </c>
      <c r="I262" s="27">
        <v>2</v>
      </c>
      <c r="J262" s="26">
        <f>ROUNDUP(Tabla95[[#This Row],[PRESELECCIÓN]]*9%,0)</f>
        <v>29</v>
      </c>
      <c r="K262" s="26">
        <f>Tabla95[[#This Row],[PRESELECCIÓN]]+Tabla95[[#This Row],[RESERVA (9%]]</f>
        <v>343</v>
      </c>
      <c r="L262" s="33">
        <f>ROUNDUP(Tabla95[[#This Row],[TOTAL (TITULARES + RESERVAS)]]*60%,0)</f>
        <v>206</v>
      </c>
      <c r="M262" s="33">
        <f>Tabla95[[#This Row],[TOTAL (TITULARES + RESERVAS)]]-Tabla95[[#This Row],[TURNO 1]]</f>
        <v>137</v>
      </c>
    </row>
    <row r="263" spans="1:13" ht="18" x14ac:dyDescent="0.3">
      <c r="A263" s="25">
        <v>262</v>
      </c>
      <c r="B263" s="26" t="s">
        <v>360</v>
      </c>
      <c r="C263" s="26" t="s">
        <v>355</v>
      </c>
      <c r="D263" s="26" t="s">
        <v>383</v>
      </c>
      <c r="E263" s="26">
        <v>640</v>
      </c>
      <c r="F263" s="26">
        <v>379</v>
      </c>
      <c r="G263" s="26">
        <v>320</v>
      </c>
      <c r="H263" s="26">
        <v>313</v>
      </c>
      <c r="I263" s="27">
        <v>7</v>
      </c>
      <c r="J263" s="26">
        <f>ROUNDUP(Tabla95[[#This Row],[PRESELECCIÓN]]*9%,0)</f>
        <v>58</v>
      </c>
      <c r="K263" s="26">
        <f>Tabla95[[#This Row],[PRESELECCIÓN]]+Tabla95[[#This Row],[RESERVA (9%]]</f>
        <v>698</v>
      </c>
      <c r="L263" s="33">
        <f>ROUNDUP(Tabla95[[#This Row],[TOTAL (TITULARES + RESERVAS)]]*60%,0)</f>
        <v>419</v>
      </c>
      <c r="M263" s="33">
        <f>Tabla95[[#This Row],[TOTAL (TITULARES + RESERVAS)]]-Tabla95[[#This Row],[TURNO 1]]</f>
        <v>279</v>
      </c>
    </row>
    <row r="264" spans="1:13" x14ac:dyDescent="0.3">
      <c r="A264" s="25">
        <v>263</v>
      </c>
      <c r="B264" s="26" t="s">
        <v>360</v>
      </c>
      <c r="C264" s="26" t="s">
        <v>356</v>
      </c>
      <c r="D264" s="26" t="s">
        <v>383</v>
      </c>
      <c r="E264" s="26">
        <v>596</v>
      </c>
      <c r="F264" s="26">
        <v>356</v>
      </c>
      <c r="G264" s="26">
        <v>298</v>
      </c>
      <c r="H264" s="26">
        <v>285</v>
      </c>
      <c r="I264" s="27">
        <v>13</v>
      </c>
      <c r="J264" s="26">
        <f>ROUNDUP(Tabla95[[#This Row],[PRESELECCIÓN]]*9%,0)</f>
        <v>54</v>
      </c>
      <c r="K264" s="26">
        <f>Tabla95[[#This Row],[PRESELECCIÓN]]+Tabla95[[#This Row],[RESERVA (9%]]</f>
        <v>650</v>
      </c>
      <c r="L264" s="33">
        <f>ROUNDUP(Tabla95[[#This Row],[TOTAL (TITULARES + RESERVAS)]]*60%,0)</f>
        <v>390</v>
      </c>
      <c r="M264" s="33">
        <f>Tabla95[[#This Row],[TOTAL (TITULARES + RESERVAS)]]-Tabla95[[#This Row],[TURNO 1]]</f>
        <v>260</v>
      </c>
    </row>
    <row r="265" spans="1:13" x14ac:dyDescent="0.3">
      <c r="A265" s="25">
        <v>264</v>
      </c>
      <c r="B265" s="26" t="s">
        <v>360</v>
      </c>
      <c r="C265" s="26" t="s">
        <v>357</v>
      </c>
      <c r="D265" s="26" t="s">
        <v>383</v>
      </c>
      <c r="E265" s="26">
        <v>650</v>
      </c>
      <c r="F265" s="26">
        <v>384</v>
      </c>
      <c r="G265" s="26">
        <v>325</v>
      </c>
      <c r="H265" s="26">
        <v>317</v>
      </c>
      <c r="I265" s="27">
        <v>8</v>
      </c>
      <c r="J265" s="26">
        <f>ROUNDUP(Tabla95[[#This Row],[PRESELECCIÓN]]*9%,0)</f>
        <v>59</v>
      </c>
      <c r="K265" s="26">
        <f>Tabla95[[#This Row],[PRESELECCIÓN]]+Tabla95[[#This Row],[RESERVA (9%]]</f>
        <v>709</v>
      </c>
      <c r="L265" s="33">
        <f>ROUNDUP(Tabla95[[#This Row],[TOTAL (TITULARES + RESERVAS)]]*60%,0)</f>
        <v>426</v>
      </c>
      <c r="M265" s="33">
        <f>Tabla95[[#This Row],[TOTAL (TITULARES + RESERVAS)]]-Tabla95[[#This Row],[TURNO 1]]</f>
        <v>283</v>
      </c>
    </row>
    <row r="266" spans="1:13" x14ac:dyDescent="0.3">
      <c r="A266" s="25">
        <v>265</v>
      </c>
      <c r="B266" s="26" t="s">
        <v>360</v>
      </c>
      <c r="C266" s="26" t="s">
        <v>358</v>
      </c>
      <c r="D266" s="26" t="s">
        <v>358</v>
      </c>
      <c r="E266" s="26">
        <v>438</v>
      </c>
      <c r="F266" s="26">
        <v>258</v>
      </c>
      <c r="G266" s="26">
        <v>219</v>
      </c>
      <c r="H266" s="26">
        <v>217</v>
      </c>
      <c r="I266" s="27">
        <v>2</v>
      </c>
      <c r="J266" s="26">
        <f>ROUNDUP(Tabla95[[#This Row],[PRESELECCIÓN]]*9%,0)</f>
        <v>40</v>
      </c>
      <c r="K266" s="26">
        <f>Tabla95[[#This Row],[PRESELECCIÓN]]+Tabla95[[#This Row],[RESERVA (9%]]</f>
        <v>478</v>
      </c>
      <c r="L266" s="33">
        <f>ROUNDUP(Tabla95[[#This Row],[TOTAL (TITULARES + RESERVAS)]]*60%,0)</f>
        <v>287</v>
      </c>
      <c r="M266" s="33">
        <f>Tabla95[[#This Row],[TOTAL (TITULARES + RESERVAS)]]-Tabla95[[#This Row],[TURNO 1]]</f>
        <v>191</v>
      </c>
    </row>
    <row r="267" spans="1:13" x14ac:dyDescent="0.3">
      <c r="A267" s="25">
        <v>266</v>
      </c>
      <c r="B267" s="26" t="s">
        <v>360</v>
      </c>
      <c r="C267" s="26" t="s">
        <v>359</v>
      </c>
      <c r="D267" s="26" t="s">
        <v>359</v>
      </c>
      <c r="E267" s="26">
        <v>252</v>
      </c>
      <c r="F267" s="26">
        <v>149</v>
      </c>
      <c r="G267" s="26">
        <v>126</v>
      </c>
      <c r="H267" s="26">
        <v>126</v>
      </c>
      <c r="I267" s="28"/>
      <c r="J267" s="26">
        <f>ROUNDUP(Tabla95[[#This Row],[PRESELECCIÓN]]*9%,0)</f>
        <v>23</v>
      </c>
      <c r="K267" s="26">
        <f>Tabla95[[#This Row],[PRESELECCIÓN]]+Tabla95[[#This Row],[RESERVA (9%]]</f>
        <v>275</v>
      </c>
      <c r="L267" s="33">
        <f>ROUNDUP(Tabla95[[#This Row],[TOTAL (TITULARES + RESERVAS)]]*60%,0)</f>
        <v>165</v>
      </c>
      <c r="M267" s="33">
        <f>Tabla95[[#This Row],[TOTAL (TITULARES + RESERVAS)]]-Tabla95[[#This Row],[TURNO 1]]</f>
        <v>110</v>
      </c>
    </row>
    <row r="268" spans="1:13" x14ac:dyDescent="0.3">
      <c r="A268" s="29">
        <v>267</v>
      </c>
      <c r="B268" s="30" t="s">
        <v>360</v>
      </c>
      <c r="C268" s="30" t="s">
        <v>360</v>
      </c>
      <c r="D268" s="30" t="s">
        <v>367</v>
      </c>
      <c r="E268" s="30">
        <v>360</v>
      </c>
      <c r="F268" s="30">
        <v>211</v>
      </c>
      <c r="G268" s="30">
        <v>180</v>
      </c>
      <c r="H268" s="30">
        <v>177</v>
      </c>
      <c r="I268" s="31">
        <v>3</v>
      </c>
      <c r="J268" s="30">
        <f>ROUNDUP(Tabla95[[#This Row],[PRESELECCIÓN]]*9%,0)</f>
        <v>33</v>
      </c>
      <c r="K268" s="30">
        <f>Tabla95[[#This Row],[PRESELECCIÓN]]+Tabla95[[#This Row],[RESERVA (9%]]</f>
        <v>393</v>
      </c>
      <c r="L268" s="33">
        <f>ROUNDUP(Tabla95[[#This Row],[TOTAL (TITULARES + RESERVAS)]]*60%,0)</f>
        <v>236</v>
      </c>
      <c r="M268" s="33">
        <f>Tabla95[[#This Row],[TOTAL (TITULARES + RESERVAS)]]-Tabla95[[#This Row],[TURNO 1]]</f>
        <v>157</v>
      </c>
    </row>
    <row r="269" spans="1:13" x14ac:dyDescent="0.3">
      <c r="A269" s="29"/>
      <c r="B269" s="30"/>
      <c r="C269" s="30"/>
      <c r="D269" s="30"/>
      <c r="E269" s="30"/>
      <c r="F269" s="30"/>
      <c r="G269" s="30"/>
      <c r="H269" s="30"/>
      <c r="I269" s="31"/>
      <c r="J269" s="30"/>
      <c r="K269" s="30">
        <f>SUBTOTAL(109,Tabla95[TOTAL (TITULARES + RESERVAS)])</f>
        <v>98596</v>
      </c>
      <c r="L269" s="33"/>
      <c r="M269" s="3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47C7-27BB-42D0-BF9B-7A55CC6E0E46}">
  <dimension ref="A1:N268"/>
  <sheetViews>
    <sheetView workbookViewId="0">
      <pane ySplit="1" topLeftCell="A2" activePane="bottomLeft" state="frozen"/>
      <selection pane="bottomLeft" activeCell="E256" sqref="E256"/>
    </sheetView>
  </sheetViews>
  <sheetFormatPr baseColWidth="10" defaultColWidth="11.44140625" defaultRowHeight="14.4" x14ac:dyDescent="0.3"/>
  <cols>
    <col min="1" max="1" width="18" style="1" customWidth="1"/>
    <col min="2" max="2" width="20.6640625" style="1" customWidth="1"/>
    <col min="3" max="3" width="12.44140625" style="2" customWidth="1"/>
    <col min="4" max="4" width="18.33203125" style="1" bestFit="1" customWidth="1"/>
    <col min="5" max="5" width="14.44140625" style="2" customWidth="1"/>
    <col min="6" max="6" width="19.33203125" style="1" customWidth="1"/>
    <col min="7" max="7" width="12.6640625" style="2" customWidth="1"/>
    <col min="8" max="8" width="11.44140625" style="2"/>
    <col min="9" max="9" width="20.33203125" style="1" customWidth="1"/>
    <col min="10" max="10" width="11.44140625" style="2"/>
    <col min="11" max="11" width="20.33203125" style="1" customWidth="1"/>
    <col min="12" max="12" width="11.44140625" style="2"/>
    <col min="13" max="13" width="20.33203125" style="1" customWidth="1"/>
    <col min="14" max="14" width="16" style="2" customWidth="1"/>
    <col min="15" max="16384" width="11.44140625" style="1"/>
  </cols>
  <sheetData>
    <row r="1" spans="1:14" s="2" customFormat="1" ht="30.75" customHeight="1" x14ac:dyDescent="0.3">
      <c r="A1" s="10" t="s">
        <v>879</v>
      </c>
      <c r="B1" s="11" t="s">
        <v>878</v>
      </c>
      <c r="C1" s="12" t="s">
        <v>877</v>
      </c>
      <c r="D1" s="12" t="s">
        <v>876</v>
      </c>
      <c r="E1" s="12" t="s">
        <v>875</v>
      </c>
      <c r="F1" s="12" t="s">
        <v>874</v>
      </c>
      <c r="G1" s="12" t="s">
        <v>873</v>
      </c>
      <c r="H1" s="13" t="s">
        <v>872</v>
      </c>
      <c r="I1" s="13" t="s">
        <v>871</v>
      </c>
      <c r="J1" s="13" t="s">
        <v>870</v>
      </c>
      <c r="K1" s="13" t="s">
        <v>869</v>
      </c>
      <c r="L1" s="13" t="s">
        <v>868</v>
      </c>
      <c r="M1" s="13" t="s">
        <v>867</v>
      </c>
      <c r="N1" s="14" t="s">
        <v>866</v>
      </c>
    </row>
    <row r="2" spans="1:14" ht="18" customHeight="1" x14ac:dyDescent="0.3">
      <c r="A2" s="7" t="s">
        <v>373</v>
      </c>
      <c r="B2" s="4" t="s">
        <v>849</v>
      </c>
      <c r="C2" s="3" t="s">
        <v>368</v>
      </c>
      <c r="D2" s="4" t="s">
        <v>849</v>
      </c>
      <c r="E2" s="3" t="s">
        <v>368</v>
      </c>
      <c r="F2" s="4" t="s">
        <v>9</v>
      </c>
      <c r="G2" s="3" t="s">
        <v>368</v>
      </c>
      <c r="H2" s="3" t="s">
        <v>368</v>
      </c>
      <c r="I2" s="4" t="s">
        <v>849</v>
      </c>
      <c r="J2" s="3" t="s">
        <v>391</v>
      </c>
      <c r="K2" s="4" t="s">
        <v>9</v>
      </c>
      <c r="L2" s="3" t="s">
        <v>368</v>
      </c>
      <c r="M2" s="4" t="s">
        <v>9</v>
      </c>
      <c r="N2" s="8" t="s">
        <v>865</v>
      </c>
    </row>
    <row r="3" spans="1:14" ht="18" customHeight="1" x14ac:dyDescent="0.3">
      <c r="A3" s="7" t="s">
        <v>373</v>
      </c>
      <c r="B3" s="4" t="s">
        <v>849</v>
      </c>
      <c r="C3" s="3" t="s">
        <v>368</v>
      </c>
      <c r="D3" s="4" t="s">
        <v>849</v>
      </c>
      <c r="E3" s="3" t="s">
        <v>391</v>
      </c>
      <c r="F3" s="4" t="s">
        <v>28</v>
      </c>
      <c r="G3" s="3" t="s">
        <v>368</v>
      </c>
      <c r="H3" s="3" t="s">
        <v>368</v>
      </c>
      <c r="I3" s="4" t="s">
        <v>849</v>
      </c>
      <c r="J3" s="3" t="s">
        <v>379</v>
      </c>
      <c r="K3" s="4" t="s">
        <v>864</v>
      </c>
      <c r="L3" s="3" t="s">
        <v>371</v>
      </c>
      <c r="M3" s="4" t="s">
        <v>863</v>
      </c>
      <c r="N3" s="8" t="s">
        <v>862</v>
      </c>
    </row>
    <row r="4" spans="1:14" ht="18" customHeight="1" x14ac:dyDescent="0.3">
      <c r="A4" s="7" t="s">
        <v>373</v>
      </c>
      <c r="B4" s="4" t="s">
        <v>849</v>
      </c>
      <c r="C4" s="3" t="s">
        <v>368</v>
      </c>
      <c r="D4" s="4" t="s">
        <v>849</v>
      </c>
      <c r="E4" s="3" t="s">
        <v>379</v>
      </c>
      <c r="F4" s="4" t="s">
        <v>30</v>
      </c>
      <c r="G4" s="3" t="s">
        <v>368</v>
      </c>
      <c r="H4" s="3" t="s">
        <v>368</v>
      </c>
      <c r="I4" s="4" t="s">
        <v>849</v>
      </c>
      <c r="J4" s="3" t="s">
        <v>368</v>
      </c>
      <c r="K4" s="4" t="s">
        <v>30</v>
      </c>
      <c r="L4" s="3" t="s">
        <v>368</v>
      </c>
      <c r="M4" s="4" t="s">
        <v>30</v>
      </c>
      <c r="N4" s="8" t="s">
        <v>861</v>
      </c>
    </row>
    <row r="5" spans="1:14" ht="18" customHeight="1" x14ac:dyDescent="0.3">
      <c r="A5" s="7" t="s">
        <v>373</v>
      </c>
      <c r="B5" s="4" t="s">
        <v>849</v>
      </c>
      <c r="C5" s="5" t="s">
        <v>368</v>
      </c>
      <c r="D5" s="6" t="s">
        <v>849</v>
      </c>
      <c r="E5" s="5" t="s">
        <v>386</v>
      </c>
      <c r="F5" s="6" t="s">
        <v>43</v>
      </c>
      <c r="G5" s="5" t="s">
        <v>368</v>
      </c>
      <c r="H5" s="5" t="s">
        <v>369</v>
      </c>
      <c r="I5" s="6" t="s">
        <v>752</v>
      </c>
      <c r="J5" s="5" t="s">
        <v>407</v>
      </c>
      <c r="K5" s="6" t="s">
        <v>93</v>
      </c>
      <c r="L5" s="5" t="s">
        <v>390</v>
      </c>
      <c r="M5" s="6" t="s">
        <v>93</v>
      </c>
      <c r="N5" s="9" t="s">
        <v>860</v>
      </c>
    </row>
    <row r="6" spans="1:14" ht="18" customHeight="1" x14ac:dyDescent="0.3">
      <c r="A6" s="7" t="s">
        <v>373</v>
      </c>
      <c r="B6" s="4" t="s">
        <v>849</v>
      </c>
      <c r="C6" s="5" t="s">
        <v>368</v>
      </c>
      <c r="D6" s="6" t="s">
        <v>849</v>
      </c>
      <c r="E6" s="5" t="s">
        <v>381</v>
      </c>
      <c r="F6" s="6" t="s">
        <v>49</v>
      </c>
      <c r="G6" s="5" t="s">
        <v>368</v>
      </c>
      <c r="H6" s="5" t="s">
        <v>369</v>
      </c>
      <c r="I6" s="6" t="s">
        <v>752</v>
      </c>
      <c r="J6" s="5" t="s">
        <v>407</v>
      </c>
      <c r="K6" s="6" t="s">
        <v>93</v>
      </c>
      <c r="L6" s="5" t="s">
        <v>388</v>
      </c>
      <c r="M6" s="6" t="s">
        <v>93</v>
      </c>
      <c r="N6" s="9" t="s">
        <v>859</v>
      </c>
    </row>
    <row r="7" spans="1:14" ht="18" customHeight="1" x14ac:dyDescent="0.3">
      <c r="A7" s="7" t="s">
        <v>373</v>
      </c>
      <c r="B7" s="4" t="s">
        <v>849</v>
      </c>
      <c r="C7" s="3" t="s">
        <v>368</v>
      </c>
      <c r="D7" s="4" t="s">
        <v>849</v>
      </c>
      <c r="E7" s="3" t="s">
        <v>369</v>
      </c>
      <c r="F7" s="4" t="s">
        <v>56</v>
      </c>
      <c r="G7" s="3" t="s">
        <v>368</v>
      </c>
      <c r="H7" s="3" t="s">
        <v>368</v>
      </c>
      <c r="I7" s="4" t="s">
        <v>849</v>
      </c>
      <c r="J7" s="3" t="s">
        <v>381</v>
      </c>
      <c r="K7" s="4" t="s">
        <v>56</v>
      </c>
      <c r="L7" s="3" t="s">
        <v>368</v>
      </c>
      <c r="M7" s="4" t="s">
        <v>858</v>
      </c>
      <c r="N7" s="8" t="s">
        <v>857</v>
      </c>
    </row>
    <row r="8" spans="1:14" ht="18" customHeight="1" x14ac:dyDescent="0.3">
      <c r="A8" s="7" t="s">
        <v>373</v>
      </c>
      <c r="B8" s="4" t="s">
        <v>849</v>
      </c>
      <c r="C8" s="3" t="s">
        <v>368</v>
      </c>
      <c r="D8" s="4" t="s">
        <v>849</v>
      </c>
      <c r="E8" s="3" t="s">
        <v>371</v>
      </c>
      <c r="F8" s="4" t="s">
        <v>58</v>
      </c>
      <c r="G8" s="3" t="s">
        <v>368</v>
      </c>
      <c r="H8" s="3" t="s">
        <v>368</v>
      </c>
      <c r="I8" s="4" t="s">
        <v>849</v>
      </c>
      <c r="J8" s="3" t="s">
        <v>386</v>
      </c>
      <c r="K8" s="4" t="s">
        <v>856</v>
      </c>
      <c r="L8" s="3" t="s">
        <v>368</v>
      </c>
      <c r="M8" s="4" t="s">
        <v>286</v>
      </c>
      <c r="N8" s="8" t="s">
        <v>855</v>
      </c>
    </row>
    <row r="9" spans="1:14" ht="18" customHeight="1" x14ac:dyDescent="0.3">
      <c r="A9" s="7" t="s">
        <v>373</v>
      </c>
      <c r="B9" s="4" t="s">
        <v>849</v>
      </c>
      <c r="C9" s="3" t="s">
        <v>368</v>
      </c>
      <c r="D9" s="4" t="s">
        <v>849</v>
      </c>
      <c r="E9" s="3" t="s">
        <v>407</v>
      </c>
      <c r="F9" s="4" t="s">
        <v>59</v>
      </c>
      <c r="G9" s="3" t="s">
        <v>368</v>
      </c>
      <c r="H9" s="3" t="s">
        <v>368</v>
      </c>
      <c r="I9" s="4" t="s">
        <v>849</v>
      </c>
      <c r="J9" s="3" t="s">
        <v>369</v>
      </c>
      <c r="K9" s="4" t="s">
        <v>59</v>
      </c>
      <c r="L9" s="3" t="s">
        <v>368</v>
      </c>
      <c r="M9" s="4" t="s">
        <v>854</v>
      </c>
      <c r="N9" s="8" t="s">
        <v>853</v>
      </c>
    </row>
    <row r="10" spans="1:14" ht="18" customHeight="1" x14ac:dyDescent="0.3">
      <c r="A10" s="7" t="s">
        <v>373</v>
      </c>
      <c r="B10" s="4" t="s">
        <v>849</v>
      </c>
      <c r="C10" s="5" t="s">
        <v>368</v>
      </c>
      <c r="D10" s="6" t="s">
        <v>849</v>
      </c>
      <c r="E10" s="5" t="s">
        <v>375</v>
      </c>
      <c r="F10" s="6" t="s">
        <v>60</v>
      </c>
      <c r="G10" s="5" t="s">
        <v>368</v>
      </c>
      <c r="H10" s="5" t="s">
        <v>369</v>
      </c>
      <c r="I10" s="6" t="s">
        <v>752</v>
      </c>
      <c r="J10" s="5" t="s">
        <v>375</v>
      </c>
      <c r="K10" s="6" t="s">
        <v>851</v>
      </c>
      <c r="L10" s="5" t="s">
        <v>390</v>
      </c>
      <c r="M10" s="6" t="s">
        <v>851</v>
      </c>
      <c r="N10" s="9" t="s">
        <v>852</v>
      </c>
    </row>
    <row r="11" spans="1:14" ht="18" customHeight="1" x14ac:dyDescent="0.3">
      <c r="A11" s="7" t="s">
        <v>373</v>
      </c>
      <c r="B11" s="4" t="s">
        <v>849</v>
      </c>
      <c r="C11" s="5" t="s">
        <v>368</v>
      </c>
      <c r="D11" s="6" t="s">
        <v>849</v>
      </c>
      <c r="E11" s="5" t="s">
        <v>377</v>
      </c>
      <c r="F11" s="6" t="s">
        <v>62</v>
      </c>
      <c r="G11" s="5" t="s">
        <v>368</v>
      </c>
      <c r="H11" s="5" t="s">
        <v>369</v>
      </c>
      <c r="I11" s="6" t="s">
        <v>752</v>
      </c>
      <c r="J11" s="5" t="s">
        <v>375</v>
      </c>
      <c r="K11" s="6" t="s">
        <v>851</v>
      </c>
      <c r="L11" s="5" t="s">
        <v>388</v>
      </c>
      <c r="M11" s="6" t="s">
        <v>851</v>
      </c>
      <c r="N11" s="9" t="s">
        <v>850</v>
      </c>
    </row>
    <row r="12" spans="1:14" ht="18" customHeight="1" x14ac:dyDescent="0.3">
      <c r="A12" s="7" t="s">
        <v>373</v>
      </c>
      <c r="B12" s="4" t="s">
        <v>849</v>
      </c>
      <c r="C12" s="3" t="s">
        <v>368</v>
      </c>
      <c r="D12" s="4" t="s">
        <v>849</v>
      </c>
      <c r="E12" s="3" t="s">
        <v>435</v>
      </c>
      <c r="F12" s="4" t="s">
        <v>64</v>
      </c>
      <c r="G12" s="3" t="s">
        <v>368</v>
      </c>
      <c r="H12" s="3" t="s">
        <v>368</v>
      </c>
      <c r="I12" s="4" t="s">
        <v>849</v>
      </c>
      <c r="J12" s="3" t="s">
        <v>371</v>
      </c>
      <c r="K12" s="4" t="s">
        <v>64</v>
      </c>
      <c r="L12" s="3" t="s">
        <v>368</v>
      </c>
      <c r="M12" s="4" t="s">
        <v>848</v>
      </c>
      <c r="N12" s="8" t="s">
        <v>847</v>
      </c>
    </row>
    <row r="13" spans="1:14" ht="18" customHeight="1" x14ac:dyDescent="0.3">
      <c r="A13" s="7" t="s">
        <v>373</v>
      </c>
      <c r="B13" s="4" t="s">
        <v>840</v>
      </c>
      <c r="C13" s="3" t="s">
        <v>391</v>
      </c>
      <c r="D13" s="4" t="s">
        <v>840</v>
      </c>
      <c r="E13" s="3" t="s">
        <v>368</v>
      </c>
      <c r="F13" s="4" t="s">
        <v>66</v>
      </c>
      <c r="G13" s="3" t="s">
        <v>368</v>
      </c>
      <c r="H13" s="3" t="s">
        <v>391</v>
      </c>
      <c r="I13" s="4" t="s">
        <v>820</v>
      </c>
      <c r="J13" s="3" t="s">
        <v>407</v>
      </c>
      <c r="K13" s="4" t="s">
        <v>66</v>
      </c>
      <c r="L13" s="3" t="s">
        <v>368</v>
      </c>
      <c r="M13" s="4" t="s">
        <v>66</v>
      </c>
      <c r="N13" s="8" t="s">
        <v>846</v>
      </c>
    </row>
    <row r="14" spans="1:14" ht="18" customHeight="1" x14ac:dyDescent="0.3">
      <c r="A14" s="7" t="s">
        <v>373</v>
      </c>
      <c r="B14" s="4" t="s">
        <v>840</v>
      </c>
      <c r="C14" s="3" t="s">
        <v>391</v>
      </c>
      <c r="D14" s="4" t="s">
        <v>840</v>
      </c>
      <c r="E14" s="3" t="s">
        <v>391</v>
      </c>
      <c r="F14" s="4" t="s">
        <v>67</v>
      </c>
      <c r="G14" s="3" t="s">
        <v>368</v>
      </c>
      <c r="H14" s="3" t="s">
        <v>391</v>
      </c>
      <c r="I14" s="4" t="s">
        <v>820</v>
      </c>
      <c r="J14" s="3" t="s">
        <v>435</v>
      </c>
      <c r="K14" s="4" t="s">
        <v>67</v>
      </c>
      <c r="L14" s="3" t="s">
        <v>368</v>
      </c>
      <c r="M14" s="4" t="s">
        <v>67</v>
      </c>
      <c r="N14" s="8" t="s">
        <v>845</v>
      </c>
    </row>
    <row r="15" spans="1:14" ht="18" customHeight="1" x14ac:dyDescent="0.3">
      <c r="A15" s="7" t="s">
        <v>373</v>
      </c>
      <c r="B15" s="4" t="s">
        <v>840</v>
      </c>
      <c r="C15" s="3" t="s">
        <v>391</v>
      </c>
      <c r="D15" s="4" t="s">
        <v>840</v>
      </c>
      <c r="E15" s="3" t="s">
        <v>379</v>
      </c>
      <c r="F15" s="4" t="s">
        <v>68</v>
      </c>
      <c r="G15" s="3" t="s">
        <v>368</v>
      </c>
      <c r="H15" s="3" t="s">
        <v>391</v>
      </c>
      <c r="I15" s="4" t="s">
        <v>820</v>
      </c>
      <c r="J15" s="3" t="s">
        <v>515</v>
      </c>
      <c r="K15" s="4" t="s">
        <v>68</v>
      </c>
      <c r="L15" s="3" t="s">
        <v>407</v>
      </c>
      <c r="M15" s="4" t="s">
        <v>68</v>
      </c>
      <c r="N15" s="8" t="s">
        <v>844</v>
      </c>
    </row>
    <row r="16" spans="1:14" ht="18" customHeight="1" x14ac:dyDescent="0.3">
      <c r="A16" s="7" t="s">
        <v>373</v>
      </c>
      <c r="B16" s="4" t="s">
        <v>840</v>
      </c>
      <c r="C16" s="5" t="s">
        <v>391</v>
      </c>
      <c r="D16" s="6" t="s">
        <v>840</v>
      </c>
      <c r="E16" s="5" t="s">
        <v>386</v>
      </c>
      <c r="F16" s="6" t="s">
        <v>69</v>
      </c>
      <c r="G16" s="5" t="s">
        <v>368</v>
      </c>
      <c r="H16" s="5" t="s">
        <v>391</v>
      </c>
      <c r="I16" s="6" t="s">
        <v>820</v>
      </c>
      <c r="J16" s="5" t="s">
        <v>490</v>
      </c>
      <c r="K16" s="6" t="s">
        <v>222</v>
      </c>
      <c r="L16" s="5" t="s">
        <v>390</v>
      </c>
      <c r="M16" s="6" t="s">
        <v>842</v>
      </c>
      <c r="N16" s="9" t="s">
        <v>843</v>
      </c>
    </row>
    <row r="17" spans="1:14" ht="18" customHeight="1" x14ac:dyDescent="0.3">
      <c r="A17" s="7" t="s">
        <v>373</v>
      </c>
      <c r="B17" s="4" t="s">
        <v>840</v>
      </c>
      <c r="C17" s="5" t="s">
        <v>391</v>
      </c>
      <c r="D17" s="6" t="s">
        <v>840</v>
      </c>
      <c r="E17" s="5" t="s">
        <v>381</v>
      </c>
      <c r="F17" s="6" t="s">
        <v>71</v>
      </c>
      <c r="G17" s="5" t="s">
        <v>368</v>
      </c>
      <c r="H17" s="5" t="s">
        <v>391</v>
      </c>
      <c r="I17" s="6" t="s">
        <v>820</v>
      </c>
      <c r="J17" s="5" t="s">
        <v>490</v>
      </c>
      <c r="K17" s="6" t="s">
        <v>222</v>
      </c>
      <c r="L17" s="5" t="s">
        <v>388</v>
      </c>
      <c r="M17" s="6" t="s">
        <v>842</v>
      </c>
      <c r="N17" s="9" t="s">
        <v>841</v>
      </c>
    </row>
    <row r="18" spans="1:14" ht="18" customHeight="1" x14ac:dyDescent="0.3">
      <c r="A18" s="7" t="s">
        <v>373</v>
      </c>
      <c r="B18" s="4" t="s">
        <v>840</v>
      </c>
      <c r="C18" s="3" t="s">
        <v>391</v>
      </c>
      <c r="D18" s="4" t="s">
        <v>840</v>
      </c>
      <c r="E18" s="3" t="s">
        <v>369</v>
      </c>
      <c r="F18" s="4" t="s">
        <v>72</v>
      </c>
      <c r="G18" s="3" t="s">
        <v>368</v>
      </c>
      <c r="H18" s="3" t="s">
        <v>391</v>
      </c>
      <c r="I18" s="4" t="s">
        <v>820</v>
      </c>
      <c r="J18" s="3" t="s">
        <v>490</v>
      </c>
      <c r="K18" s="4" t="s">
        <v>222</v>
      </c>
      <c r="L18" s="3" t="s">
        <v>375</v>
      </c>
      <c r="M18" s="4" t="s">
        <v>839</v>
      </c>
      <c r="N18" s="8" t="s">
        <v>838</v>
      </c>
    </row>
    <row r="19" spans="1:14" ht="18" customHeight="1" x14ac:dyDescent="0.3">
      <c r="A19" s="7" t="s">
        <v>373</v>
      </c>
      <c r="B19" s="4" t="s">
        <v>821</v>
      </c>
      <c r="C19" s="3" t="s">
        <v>379</v>
      </c>
      <c r="D19" s="4" t="s">
        <v>821</v>
      </c>
      <c r="E19" s="3" t="s">
        <v>368</v>
      </c>
      <c r="F19" s="4" t="s">
        <v>73</v>
      </c>
      <c r="G19" s="3" t="s">
        <v>368</v>
      </c>
      <c r="H19" s="3" t="s">
        <v>391</v>
      </c>
      <c r="I19" s="4" t="s">
        <v>820</v>
      </c>
      <c r="J19" s="3" t="s">
        <v>381</v>
      </c>
      <c r="K19" s="4" t="s">
        <v>73</v>
      </c>
      <c r="L19" s="3" t="s">
        <v>368</v>
      </c>
      <c r="M19" s="4" t="s">
        <v>837</v>
      </c>
      <c r="N19" s="8" t="s">
        <v>836</v>
      </c>
    </row>
    <row r="20" spans="1:14" ht="18" customHeight="1" x14ac:dyDescent="0.3">
      <c r="A20" s="7" t="s">
        <v>373</v>
      </c>
      <c r="B20" s="4" t="s">
        <v>821</v>
      </c>
      <c r="C20" s="3" t="s">
        <v>379</v>
      </c>
      <c r="D20" s="4" t="s">
        <v>821</v>
      </c>
      <c r="E20" s="3" t="s">
        <v>391</v>
      </c>
      <c r="F20" s="4" t="s">
        <v>74</v>
      </c>
      <c r="G20" s="3" t="s">
        <v>368</v>
      </c>
      <c r="H20" s="3" t="s">
        <v>391</v>
      </c>
      <c r="I20" s="4" t="s">
        <v>820</v>
      </c>
      <c r="J20" s="3" t="s">
        <v>369</v>
      </c>
      <c r="K20" s="4" t="s">
        <v>74</v>
      </c>
      <c r="L20" s="3" t="s">
        <v>368</v>
      </c>
      <c r="M20" s="4" t="s">
        <v>74</v>
      </c>
      <c r="N20" s="8" t="s">
        <v>835</v>
      </c>
    </row>
    <row r="21" spans="1:14" ht="18" customHeight="1" x14ac:dyDescent="0.3">
      <c r="A21" s="7" t="s">
        <v>373</v>
      </c>
      <c r="B21" s="4" t="s">
        <v>821</v>
      </c>
      <c r="C21" s="3" t="s">
        <v>379</v>
      </c>
      <c r="D21" s="4" t="s">
        <v>821</v>
      </c>
      <c r="E21" s="3" t="s">
        <v>379</v>
      </c>
      <c r="F21" s="4" t="s">
        <v>75</v>
      </c>
      <c r="G21" s="3" t="s">
        <v>368</v>
      </c>
      <c r="H21" s="3" t="s">
        <v>391</v>
      </c>
      <c r="I21" s="4" t="s">
        <v>820</v>
      </c>
      <c r="J21" s="3" t="s">
        <v>371</v>
      </c>
      <c r="K21" s="4" t="s">
        <v>834</v>
      </c>
      <c r="L21" s="3" t="s">
        <v>368</v>
      </c>
      <c r="M21" s="4" t="s">
        <v>539</v>
      </c>
      <c r="N21" s="8" t="s">
        <v>833</v>
      </c>
    </row>
    <row r="22" spans="1:14" ht="18" customHeight="1" x14ac:dyDescent="0.3">
      <c r="A22" s="7" t="s">
        <v>373</v>
      </c>
      <c r="B22" s="4" t="s">
        <v>821</v>
      </c>
      <c r="C22" s="3" t="s">
        <v>379</v>
      </c>
      <c r="D22" s="4" t="s">
        <v>821</v>
      </c>
      <c r="E22" s="3" t="s">
        <v>386</v>
      </c>
      <c r="F22" s="4" t="s">
        <v>76</v>
      </c>
      <c r="G22" s="3" t="s">
        <v>368</v>
      </c>
      <c r="H22" s="3" t="s">
        <v>391</v>
      </c>
      <c r="I22" s="4" t="s">
        <v>820</v>
      </c>
      <c r="J22" s="3" t="s">
        <v>368</v>
      </c>
      <c r="K22" s="4" t="s">
        <v>76</v>
      </c>
      <c r="L22" s="3" t="s">
        <v>368</v>
      </c>
      <c r="M22" s="4" t="s">
        <v>76</v>
      </c>
      <c r="N22" s="8" t="s">
        <v>832</v>
      </c>
    </row>
    <row r="23" spans="1:14" ht="18" customHeight="1" x14ac:dyDescent="0.3">
      <c r="A23" s="7" t="s">
        <v>373</v>
      </c>
      <c r="B23" s="4" t="s">
        <v>821</v>
      </c>
      <c r="C23" s="3" t="s">
        <v>379</v>
      </c>
      <c r="D23" s="4" t="s">
        <v>821</v>
      </c>
      <c r="E23" s="3" t="s">
        <v>381</v>
      </c>
      <c r="F23" s="4" t="s">
        <v>78</v>
      </c>
      <c r="G23" s="3" t="s">
        <v>368</v>
      </c>
      <c r="H23" s="3" t="s">
        <v>391</v>
      </c>
      <c r="I23" s="4" t="s">
        <v>820</v>
      </c>
      <c r="J23" s="3" t="s">
        <v>377</v>
      </c>
      <c r="K23" s="4" t="s">
        <v>831</v>
      </c>
      <c r="L23" s="3" t="s">
        <v>368</v>
      </c>
      <c r="M23" s="4" t="s">
        <v>831</v>
      </c>
      <c r="N23" s="8" t="s">
        <v>830</v>
      </c>
    </row>
    <row r="24" spans="1:14" ht="18" customHeight="1" x14ac:dyDescent="0.3">
      <c r="A24" s="7" t="s">
        <v>373</v>
      </c>
      <c r="B24" s="4" t="s">
        <v>821</v>
      </c>
      <c r="C24" s="3" t="s">
        <v>379</v>
      </c>
      <c r="D24" s="4" t="s">
        <v>821</v>
      </c>
      <c r="E24" s="3" t="s">
        <v>369</v>
      </c>
      <c r="F24" s="4" t="s">
        <v>80</v>
      </c>
      <c r="G24" s="3" t="s">
        <v>368</v>
      </c>
      <c r="H24" s="3" t="s">
        <v>391</v>
      </c>
      <c r="I24" s="4" t="s">
        <v>820</v>
      </c>
      <c r="J24" s="3" t="s">
        <v>432</v>
      </c>
      <c r="K24" s="4" t="s">
        <v>80</v>
      </c>
      <c r="L24" s="3" t="s">
        <v>368</v>
      </c>
      <c r="M24" s="4" t="s">
        <v>829</v>
      </c>
      <c r="N24" s="8" t="s">
        <v>828</v>
      </c>
    </row>
    <row r="25" spans="1:14" ht="18" customHeight="1" x14ac:dyDescent="0.3">
      <c r="A25" s="7" t="s">
        <v>373</v>
      </c>
      <c r="B25" s="4" t="s">
        <v>821</v>
      </c>
      <c r="C25" s="3" t="s">
        <v>379</v>
      </c>
      <c r="D25" s="4" t="s">
        <v>821</v>
      </c>
      <c r="E25" s="3" t="s">
        <v>371</v>
      </c>
      <c r="F25" s="4" t="s">
        <v>81</v>
      </c>
      <c r="G25" s="3" t="s">
        <v>368</v>
      </c>
      <c r="H25" s="3" t="s">
        <v>391</v>
      </c>
      <c r="I25" s="4" t="s">
        <v>820</v>
      </c>
      <c r="J25" s="3" t="s">
        <v>370</v>
      </c>
      <c r="K25" s="4" t="s">
        <v>827</v>
      </c>
      <c r="L25" s="3" t="s">
        <v>368</v>
      </c>
      <c r="M25" s="4" t="s">
        <v>827</v>
      </c>
      <c r="N25" s="8" t="s">
        <v>826</v>
      </c>
    </row>
    <row r="26" spans="1:14" ht="18" customHeight="1" x14ac:dyDescent="0.3">
      <c r="A26" s="7" t="s">
        <v>373</v>
      </c>
      <c r="B26" s="4" t="s">
        <v>821</v>
      </c>
      <c r="C26" s="3" t="s">
        <v>379</v>
      </c>
      <c r="D26" s="4" t="s">
        <v>821</v>
      </c>
      <c r="E26" s="3" t="s">
        <v>407</v>
      </c>
      <c r="F26" s="4" t="s">
        <v>83</v>
      </c>
      <c r="G26" s="3" t="s">
        <v>368</v>
      </c>
      <c r="H26" s="3" t="s">
        <v>391</v>
      </c>
      <c r="I26" s="4" t="s">
        <v>820</v>
      </c>
      <c r="J26" s="3" t="s">
        <v>498</v>
      </c>
      <c r="K26" s="4" t="s">
        <v>825</v>
      </c>
      <c r="L26" s="3" t="s">
        <v>368</v>
      </c>
      <c r="M26" s="4" t="s">
        <v>825</v>
      </c>
      <c r="N26" s="8" t="s">
        <v>824</v>
      </c>
    </row>
    <row r="27" spans="1:14" ht="18" customHeight="1" x14ac:dyDescent="0.3">
      <c r="A27" s="7" t="s">
        <v>373</v>
      </c>
      <c r="B27" s="4" t="s">
        <v>821</v>
      </c>
      <c r="C27" s="3" t="s">
        <v>379</v>
      </c>
      <c r="D27" s="4" t="s">
        <v>821</v>
      </c>
      <c r="E27" s="3" t="s">
        <v>375</v>
      </c>
      <c r="F27" s="4" t="s">
        <v>84</v>
      </c>
      <c r="G27" s="3" t="s">
        <v>368</v>
      </c>
      <c r="H27" s="3" t="s">
        <v>391</v>
      </c>
      <c r="I27" s="4" t="s">
        <v>820</v>
      </c>
      <c r="J27" s="3" t="s">
        <v>478</v>
      </c>
      <c r="K27" s="4" t="s">
        <v>823</v>
      </c>
      <c r="L27" s="3" t="s">
        <v>368</v>
      </c>
      <c r="M27" s="4" t="s">
        <v>823</v>
      </c>
      <c r="N27" s="8" t="s">
        <v>822</v>
      </c>
    </row>
    <row r="28" spans="1:14" ht="18" customHeight="1" x14ac:dyDescent="0.3">
      <c r="A28" s="7" t="s">
        <v>373</v>
      </c>
      <c r="B28" s="4" t="s">
        <v>821</v>
      </c>
      <c r="C28" s="3" t="s">
        <v>379</v>
      </c>
      <c r="D28" s="4" t="s">
        <v>821</v>
      </c>
      <c r="E28" s="3" t="s">
        <v>377</v>
      </c>
      <c r="F28" s="4" t="s">
        <v>85</v>
      </c>
      <c r="G28" s="3" t="s">
        <v>368</v>
      </c>
      <c r="H28" s="3" t="s">
        <v>391</v>
      </c>
      <c r="I28" s="4" t="s">
        <v>820</v>
      </c>
      <c r="J28" s="3" t="s">
        <v>457</v>
      </c>
      <c r="K28" s="4" t="s">
        <v>85</v>
      </c>
      <c r="L28" s="3" t="s">
        <v>368</v>
      </c>
      <c r="M28" s="4" t="s">
        <v>85</v>
      </c>
      <c r="N28" s="8" t="s">
        <v>819</v>
      </c>
    </row>
    <row r="29" spans="1:14" ht="18" customHeight="1" x14ac:dyDescent="0.3">
      <c r="A29" s="7" t="s">
        <v>373</v>
      </c>
      <c r="B29" s="4" t="s">
        <v>810</v>
      </c>
      <c r="C29" s="3" t="s">
        <v>386</v>
      </c>
      <c r="D29" s="4" t="s">
        <v>810</v>
      </c>
      <c r="E29" s="3" t="s">
        <v>368</v>
      </c>
      <c r="F29" s="4" t="s">
        <v>86</v>
      </c>
      <c r="G29" s="3" t="s">
        <v>368</v>
      </c>
      <c r="H29" s="3" t="s">
        <v>379</v>
      </c>
      <c r="I29" s="4" t="s">
        <v>810</v>
      </c>
      <c r="J29" s="3" t="s">
        <v>368</v>
      </c>
      <c r="K29" s="4" t="s">
        <v>818</v>
      </c>
      <c r="L29" s="3" t="s">
        <v>368</v>
      </c>
      <c r="M29" s="4" t="s">
        <v>818</v>
      </c>
      <c r="N29" s="8" t="s">
        <v>817</v>
      </c>
    </row>
    <row r="30" spans="1:14" ht="18" customHeight="1" x14ac:dyDescent="0.3">
      <c r="A30" s="7" t="s">
        <v>373</v>
      </c>
      <c r="B30" s="4" t="s">
        <v>810</v>
      </c>
      <c r="C30" s="3" t="s">
        <v>386</v>
      </c>
      <c r="D30" s="4" t="s">
        <v>810</v>
      </c>
      <c r="E30" s="3" t="s">
        <v>391</v>
      </c>
      <c r="F30" s="4" t="s">
        <v>88</v>
      </c>
      <c r="G30" s="3" t="s">
        <v>368</v>
      </c>
      <c r="H30" s="3" t="s">
        <v>379</v>
      </c>
      <c r="I30" s="4" t="s">
        <v>810</v>
      </c>
      <c r="J30" s="3" t="s">
        <v>391</v>
      </c>
      <c r="K30" s="4" t="s">
        <v>88</v>
      </c>
      <c r="L30" s="3" t="s">
        <v>368</v>
      </c>
      <c r="M30" s="4" t="s">
        <v>88</v>
      </c>
      <c r="N30" s="8" t="s">
        <v>816</v>
      </c>
    </row>
    <row r="31" spans="1:14" ht="18" customHeight="1" x14ac:dyDescent="0.3">
      <c r="A31" s="7" t="s">
        <v>373</v>
      </c>
      <c r="B31" s="4" t="s">
        <v>810</v>
      </c>
      <c r="C31" s="3" t="s">
        <v>386</v>
      </c>
      <c r="D31" s="4" t="s">
        <v>810</v>
      </c>
      <c r="E31" s="3" t="s">
        <v>379</v>
      </c>
      <c r="F31" s="4" t="s">
        <v>90</v>
      </c>
      <c r="G31" s="3" t="s">
        <v>368</v>
      </c>
      <c r="H31" s="3" t="s">
        <v>379</v>
      </c>
      <c r="I31" s="4" t="s">
        <v>810</v>
      </c>
      <c r="J31" s="3" t="s">
        <v>386</v>
      </c>
      <c r="K31" s="4" t="s">
        <v>90</v>
      </c>
      <c r="L31" s="3" t="s">
        <v>368</v>
      </c>
      <c r="M31" s="4" t="s">
        <v>815</v>
      </c>
      <c r="N31" s="8" t="s">
        <v>814</v>
      </c>
    </row>
    <row r="32" spans="1:14" ht="18" customHeight="1" x14ac:dyDescent="0.3">
      <c r="A32" s="7" t="s">
        <v>373</v>
      </c>
      <c r="B32" s="4" t="s">
        <v>810</v>
      </c>
      <c r="C32" s="3" t="s">
        <v>386</v>
      </c>
      <c r="D32" s="4" t="s">
        <v>810</v>
      </c>
      <c r="E32" s="3" t="s">
        <v>386</v>
      </c>
      <c r="F32" s="4" t="s">
        <v>91</v>
      </c>
      <c r="G32" s="3" t="s">
        <v>368</v>
      </c>
      <c r="H32" s="3" t="s">
        <v>379</v>
      </c>
      <c r="I32" s="4" t="s">
        <v>810</v>
      </c>
      <c r="J32" s="3" t="s">
        <v>369</v>
      </c>
      <c r="K32" s="4" t="s">
        <v>91</v>
      </c>
      <c r="L32" s="3" t="s">
        <v>368</v>
      </c>
      <c r="M32" s="4" t="s">
        <v>91</v>
      </c>
      <c r="N32" s="8" t="s">
        <v>813</v>
      </c>
    </row>
    <row r="33" spans="1:14" ht="18" customHeight="1" x14ac:dyDescent="0.3">
      <c r="A33" s="7" t="s">
        <v>373</v>
      </c>
      <c r="B33" s="4" t="s">
        <v>810</v>
      </c>
      <c r="C33" s="3" t="s">
        <v>386</v>
      </c>
      <c r="D33" s="4" t="s">
        <v>810</v>
      </c>
      <c r="E33" s="3" t="s">
        <v>381</v>
      </c>
      <c r="F33" s="4" t="s">
        <v>92</v>
      </c>
      <c r="G33" s="3" t="s">
        <v>368</v>
      </c>
      <c r="H33" s="3" t="s">
        <v>379</v>
      </c>
      <c r="I33" s="4" t="s">
        <v>810</v>
      </c>
      <c r="J33" s="3" t="s">
        <v>381</v>
      </c>
      <c r="K33" s="4" t="s">
        <v>92</v>
      </c>
      <c r="L33" s="3" t="s">
        <v>368</v>
      </c>
      <c r="M33" s="4" t="s">
        <v>812</v>
      </c>
      <c r="N33" s="8" t="s">
        <v>811</v>
      </c>
    </row>
    <row r="34" spans="1:14" ht="18" customHeight="1" x14ac:dyDescent="0.3">
      <c r="A34" s="7" t="s">
        <v>373</v>
      </c>
      <c r="B34" s="4" t="s">
        <v>810</v>
      </c>
      <c r="C34" s="3" t="s">
        <v>386</v>
      </c>
      <c r="D34" s="4" t="s">
        <v>810</v>
      </c>
      <c r="E34" s="3" t="s">
        <v>369</v>
      </c>
      <c r="F34" s="4" t="s">
        <v>79</v>
      </c>
      <c r="G34" s="3" t="s">
        <v>368</v>
      </c>
      <c r="H34" s="3" t="s">
        <v>379</v>
      </c>
      <c r="I34" s="4" t="s">
        <v>810</v>
      </c>
      <c r="J34" s="3" t="s">
        <v>371</v>
      </c>
      <c r="K34" s="4" t="s">
        <v>79</v>
      </c>
      <c r="L34" s="3" t="s">
        <v>368</v>
      </c>
      <c r="M34" s="4" t="s">
        <v>809</v>
      </c>
      <c r="N34" s="8" t="s">
        <v>808</v>
      </c>
    </row>
    <row r="35" spans="1:14" ht="18" customHeight="1" x14ac:dyDescent="0.3">
      <c r="A35" s="7" t="s">
        <v>373</v>
      </c>
      <c r="B35" s="4" t="s">
        <v>94</v>
      </c>
      <c r="C35" s="3" t="s">
        <v>381</v>
      </c>
      <c r="D35" s="4" t="s">
        <v>793</v>
      </c>
      <c r="E35" s="3" t="s">
        <v>368</v>
      </c>
      <c r="F35" s="4" t="s">
        <v>94</v>
      </c>
      <c r="G35" s="3" t="s">
        <v>368</v>
      </c>
      <c r="H35" s="3" t="s">
        <v>386</v>
      </c>
      <c r="I35" s="4" t="s">
        <v>94</v>
      </c>
      <c r="J35" s="3" t="s">
        <v>368</v>
      </c>
      <c r="K35" s="4" t="s">
        <v>94</v>
      </c>
      <c r="L35" s="3" t="s">
        <v>368</v>
      </c>
      <c r="M35" s="4" t="s">
        <v>94</v>
      </c>
      <c r="N35" s="8" t="s">
        <v>807</v>
      </c>
    </row>
    <row r="36" spans="1:14" ht="18" customHeight="1" x14ac:dyDescent="0.3">
      <c r="A36" s="7" t="s">
        <v>373</v>
      </c>
      <c r="B36" s="4" t="s">
        <v>94</v>
      </c>
      <c r="C36" s="3" t="s">
        <v>381</v>
      </c>
      <c r="D36" s="4" t="s">
        <v>793</v>
      </c>
      <c r="E36" s="3" t="s">
        <v>391</v>
      </c>
      <c r="F36" s="4" t="s">
        <v>95</v>
      </c>
      <c r="G36" s="3" t="s">
        <v>368</v>
      </c>
      <c r="H36" s="3" t="s">
        <v>386</v>
      </c>
      <c r="I36" s="4" t="s">
        <v>94</v>
      </c>
      <c r="J36" s="3" t="s">
        <v>391</v>
      </c>
      <c r="K36" s="4" t="s">
        <v>95</v>
      </c>
      <c r="L36" s="3" t="s">
        <v>368</v>
      </c>
      <c r="M36" s="4" t="s">
        <v>95</v>
      </c>
      <c r="N36" s="8" t="s">
        <v>806</v>
      </c>
    </row>
    <row r="37" spans="1:14" ht="18" customHeight="1" x14ac:dyDescent="0.3">
      <c r="A37" s="7" t="s">
        <v>373</v>
      </c>
      <c r="B37" s="4" t="s">
        <v>94</v>
      </c>
      <c r="C37" s="3" t="s">
        <v>381</v>
      </c>
      <c r="D37" s="4" t="s">
        <v>793</v>
      </c>
      <c r="E37" s="3" t="s">
        <v>379</v>
      </c>
      <c r="F37" s="4" t="s">
        <v>96</v>
      </c>
      <c r="G37" s="3" t="s">
        <v>368</v>
      </c>
      <c r="H37" s="3" t="s">
        <v>386</v>
      </c>
      <c r="I37" s="4" t="s">
        <v>94</v>
      </c>
      <c r="J37" s="3" t="s">
        <v>379</v>
      </c>
      <c r="K37" s="4" t="s">
        <v>805</v>
      </c>
      <c r="L37" s="3" t="s">
        <v>371</v>
      </c>
      <c r="M37" s="4" t="s">
        <v>804</v>
      </c>
      <c r="N37" s="8" t="s">
        <v>803</v>
      </c>
    </row>
    <row r="38" spans="1:14" ht="18" customHeight="1" x14ac:dyDescent="0.3">
      <c r="A38" s="7" t="s">
        <v>373</v>
      </c>
      <c r="B38" s="4" t="s">
        <v>94</v>
      </c>
      <c r="C38" s="3" t="s">
        <v>381</v>
      </c>
      <c r="D38" s="4" t="s">
        <v>793</v>
      </c>
      <c r="E38" s="3" t="s">
        <v>386</v>
      </c>
      <c r="F38" s="4" t="s">
        <v>97</v>
      </c>
      <c r="G38" s="3" t="s">
        <v>368</v>
      </c>
      <c r="H38" s="3" t="s">
        <v>386</v>
      </c>
      <c r="I38" s="4" t="s">
        <v>94</v>
      </c>
      <c r="J38" s="3" t="s">
        <v>386</v>
      </c>
      <c r="K38" s="4" t="s">
        <v>168</v>
      </c>
      <c r="L38" s="3" t="s">
        <v>368</v>
      </c>
      <c r="M38" s="4" t="s">
        <v>802</v>
      </c>
      <c r="N38" s="8" t="s">
        <v>801</v>
      </c>
    </row>
    <row r="39" spans="1:14" ht="18" customHeight="1" x14ac:dyDescent="0.3">
      <c r="A39" s="7" t="s">
        <v>373</v>
      </c>
      <c r="B39" s="4" t="s">
        <v>94</v>
      </c>
      <c r="C39" s="3" t="s">
        <v>381</v>
      </c>
      <c r="D39" s="4" t="s">
        <v>793</v>
      </c>
      <c r="E39" s="3" t="s">
        <v>381</v>
      </c>
      <c r="F39" s="4" t="s">
        <v>99</v>
      </c>
      <c r="G39" s="3" t="s">
        <v>368</v>
      </c>
      <c r="H39" s="3" t="s">
        <v>386</v>
      </c>
      <c r="I39" s="4" t="s">
        <v>94</v>
      </c>
      <c r="J39" s="3" t="s">
        <v>381</v>
      </c>
      <c r="K39" s="4" t="s">
        <v>99</v>
      </c>
      <c r="L39" s="3" t="s">
        <v>368</v>
      </c>
      <c r="M39" s="4" t="s">
        <v>800</v>
      </c>
      <c r="N39" s="8" t="s">
        <v>799</v>
      </c>
    </row>
    <row r="40" spans="1:14" ht="18" customHeight="1" x14ac:dyDescent="0.3">
      <c r="A40" s="7" t="s">
        <v>373</v>
      </c>
      <c r="B40" s="4" t="s">
        <v>94</v>
      </c>
      <c r="C40" s="3" t="s">
        <v>381</v>
      </c>
      <c r="D40" s="4" t="s">
        <v>793</v>
      </c>
      <c r="E40" s="3" t="s">
        <v>369</v>
      </c>
      <c r="F40" s="4" t="s">
        <v>100</v>
      </c>
      <c r="G40" s="3" t="s">
        <v>368</v>
      </c>
      <c r="H40" s="3" t="s">
        <v>386</v>
      </c>
      <c r="I40" s="4" t="s">
        <v>94</v>
      </c>
      <c r="J40" s="3" t="s">
        <v>368</v>
      </c>
      <c r="K40" s="4" t="s">
        <v>94</v>
      </c>
      <c r="L40" s="3" t="s">
        <v>379</v>
      </c>
      <c r="M40" s="4" t="s">
        <v>798</v>
      </c>
      <c r="N40" s="8" t="s">
        <v>797</v>
      </c>
    </row>
    <row r="41" spans="1:14" ht="18" customHeight="1" x14ac:dyDescent="0.3">
      <c r="A41" s="7" t="s">
        <v>373</v>
      </c>
      <c r="B41" s="4" t="s">
        <v>94</v>
      </c>
      <c r="C41" s="3" t="s">
        <v>381</v>
      </c>
      <c r="D41" s="4" t="s">
        <v>793</v>
      </c>
      <c r="E41" s="3" t="s">
        <v>371</v>
      </c>
      <c r="F41" s="4" t="s">
        <v>101</v>
      </c>
      <c r="G41" s="3" t="s">
        <v>368</v>
      </c>
      <c r="H41" s="3" t="s">
        <v>386</v>
      </c>
      <c r="I41" s="4" t="s">
        <v>94</v>
      </c>
      <c r="J41" s="3" t="s">
        <v>368</v>
      </c>
      <c r="K41" s="4" t="s">
        <v>94</v>
      </c>
      <c r="L41" s="3">
        <v>28</v>
      </c>
      <c r="M41" s="4" t="s">
        <v>796</v>
      </c>
      <c r="N41" s="8" t="s">
        <v>795</v>
      </c>
    </row>
    <row r="42" spans="1:14" ht="18" customHeight="1" x14ac:dyDescent="0.3">
      <c r="A42" s="7" t="s">
        <v>373</v>
      </c>
      <c r="B42" s="4" t="s">
        <v>94</v>
      </c>
      <c r="C42" s="3" t="s">
        <v>381</v>
      </c>
      <c r="D42" s="4" t="s">
        <v>793</v>
      </c>
      <c r="E42" s="3" t="s">
        <v>407</v>
      </c>
      <c r="F42" s="4" t="s">
        <v>103</v>
      </c>
      <c r="G42" s="3" t="s">
        <v>368</v>
      </c>
      <c r="H42" s="3" t="s">
        <v>386</v>
      </c>
      <c r="I42" s="4" t="s">
        <v>94</v>
      </c>
      <c r="J42" s="3" t="s">
        <v>371</v>
      </c>
      <c r="K42" s="4" t="s">
        <v>103</v>
      </c>
      <c r="L42" s="3" t="s">
        <v>386</v>
      </c>
      <c r="M42" s="4" t="s">
        <v>103</v>
      </c>
      <c r="N42" s="8" t="s">
        <v>794</v>
      </c>
    </row>
    <row r="43" spans="1:14" ht="18" customHeight="1" x14ac:dyDescent="0.3">
      <c r="A43" s="7" t="s">
        <v>373</v>
      </c>
      <c r="B43" s="4" t="s">
        <v>94</v>
      </c>
      <c r="C43" s="3" t="s">
        <v>381</v>
      </c>
      <c r="D43" s="4" t="s">
        <v>793</v>
      </c>
      <c r="E43" s="3" t="s">
        <v>375</v>
      </c>
      <c r="F43" s="4" t="s">
        <v>104</v>
      </c>
      <c r="G43" s="3" t="s">
        <v>368</v>
      </c>
      <c r="H43" s="3" t="s">
        <v>386</v>
      </c>
      <c r="I43" s="4" t="s">
        <v>94</v>
      </c>
      <c r="J43" s="3" t="s">
        <v>368</v>
      </c>
      <c r="K43" s="4" t="s">
        <v>94</v>
      </c>
      <c r="L43" s="3" t="s">
        <v>498</v>
      </c>
      <c r="M43" s="4" t="s">
        <v>792</v>
      </c>
      <c r="N43" s="8" t="s">
        <v>791</v>
      </c>
    </row>
    <row r="44" spans="1:14" ht="18" customHeight="1" x14ac:dyDescent="0.3">
      <c r="A44" s="7" t="s">
        <v>373</v>
      </c>
      <c r="B44" s="4" t="s">
        <v>94</v>
      </c>
      <c r="C44" s="3" t="s">
        <v>369</v>
      </c>
      <c r="D44" s="4" t="s">
        <v>783</v>
      </c>
      <c r="E44" s="3" t="s">
        <v>368</v>
      </c>
      <c r="F44" s="4" t="s">
        <v>105</v>
      </c>
      <c r="G44" s="3" t="s">
        <v>368</v>
      </c>
      <c r="H44" s="3" t="s">
        <v>386</v>
      </c>
      <c r="I44" s="4" t="s">
        <v>94</v>
      </c>
      <c r="J44" s="3" t="s">
        <v>368</v>
      </c>
      <c r="K44" s="4" t="s">
        <v>94</v>
      </c>
      <c r="L44" s="3" t="s">
        <v>391</v>
      </c>
      <c r="M44" s="4" t="s">
        <v>105</v>
      </c>
      <c r="N44" s="8" t="s">
        <v>790</v>
      </c>
    </row>
    <row r="45" spans="1:14" ht="18" customHeight="1" x14ac:dyDescent="0.3">
      <c r="A45" s="7" t="s">
        <v>373</v>
      </c>
      <c r="B45" s="4" t="s">
        <v>94</v>
      </c>
      <c r="C45" s="3" t="s">
        <v>369</v>
      </c>
      <c r="D45" s="4" t="s">
        <v>783</v>
      </c>
      <c r="E45" s="3" t="s">
        <v>391</v>
      </c>
      <c r="F45" s="4" t="s">
        <v>106</v>
      </c>
      <c r="G45" s="3" t="s">
        <v>368</v>
      </c>
      <c r="H45" s="3" t="s">
        <v>386</v>
      </c>
      <c r="I45" s="4" t="s">
        <v>94</v>
      </c>
      <c r="J45" s="3" t="s">
        <v>368</v>
      </c>
      <c r="K45" s="4" t="s">
        <v>94</v>
      </c>
      <c r="L45" s="3" t="s">
        <v>371</v>
      </c>
      <c r="M45" s="4" t="s">
        <v>106</v>
      </c>
      <c r="N45" s="8" t="s">
        <v>789</v>
      </c>
    </row>
    <row r="46" spans="1:14" ht="18" customHeight="1" x14ac:dyDescent="0.3">
      <c r="A46" s="7" t="s">
        <v>373</v>
      </c>
      <c r="B46" s="4" t="s">
        <v>94</v>
      </c>
      <c r="C46" s="3" t="s">
        <v>369</v>
      </c>
      <c r="D46" s="4" t="s">
        <v>783</v>
      </c>
      <c r="E46" s="3" t="s">
        <v>379</v>
      </c>
      <c r="F46" s="4" t="s">
        <v>108</v>
      </c>
      <c r="G46" s="3" t="s">
        <v>368</v>
      </c>
      <c r="H46" s="3" t="s">
        <v>386</v>
      </c>
      <c r="I46" s="4" t="s">
        <v>94</v>
      </c>
      <c r="J46" s="3" t="s">
        <v>368</v>
      </c>
      <c r="K46" s="4" t="s">
        <v>94</v>
      </c>
      <c r="L46" s="3" t="s">
        <v>407</v>
      </c>
      <c r="M46" s="4" t="s">
        <v>108</v>
      </c>
      <c r="N46" s="8" t="s">
        <v>788</v>
      </c>
    </row>
    <row r="47" spans="1:14" ht="18" customHeight="1" x14ac:dyDescent="0.3">
      <c r="A47" s="7" t="s">
        <v>373</v>
      </c>
      <c r="B47" s="4" t="s">
        <v>94</v>
      </c>
      <c r="C47" s="3" t="s">
        <v>369</v>
      </c>
      <c r="D47" s="4" t="s">
        <v>783</v>
      </c>
      <c r="E47" s="3" t="s">
        <v>386</v>
      </c>
      <c r="F47" s="4" t="s">
        <v>109</v>
      </c>
      <c r="G47" s="3" t="s">
        <v>368</v>
      </c>
      <c r="H47" s="3" t="s">
        <v>386</v>
      </c>
      <c r="I47" s="4" t="s">
        <v>94</v>
      </c>
      <c r="J47" s="3" t="s">
        <v>381</v>
      </c>
      <c r="K47" s="4" t="s">
        <v>99</v>
      </c>
      <c r="L47" s="3" t="s">
        <v>457</v>
      </c>
      <c r="M47" s="4" t="s">
        <v>109</v>
      </c>
      <c r="N47" s="8" t="s">
        <v>787</v>
      </c>
    </row>
    <row r="48" spans="1:14" ht="18" customHeight="1" x14ac:dyDescent="0.3">
      <c r="A48" s="7" t="s">
        <v>373</v>
      </c>
      <c r="B48" s="4" t="s">
        <v>94</v>
      </c>
      <c r="C48" s="3" t="s">
        <v>369</v>
      </c>
      <c r="D48" s="4" t="s">
        <v>783</v>
      </c>
      <c r="E48" s="3" t="s">
        <v>381</v>
      </c>
      <c r="F48" s="4" t="s">
        <v>112</v>
      </c>
      <c r="G48" s="3" t="s">
        <v>368</v>
      </c>
      <c r="H48" s="3" t="s">
        <v>386</v>
      </c>
      <c r="I48" s="4" t="s">
        <v>94</v>
      </c>
      <c r="J48" s="3" t="s">
        <v>368</v>
      </c>
      <c r="K48" s="4" t="s">
        <v>94</v>
      </c>
      <c r="L48" s="3" t="s">
        <v>375</v>
      </c>
      <c r="M48" s="4" t="s">
        <v>786</v>
      </c>
      <c r="N48" s="8" t="s">
        <v>785</v>
      </c>
    </row>
    <row r="49" spans="1:14" ht="18" customHeight="1" x14ac:dyDescent="0.3">
      <c r="A49" s="7" t="s">
        <v>373</v>
      </c>
      <c r="B49" s="4" t="s">
        <v>94</v>
      </c>
      <c r="C49" s="3" t="s">
        <v>369</v>
      </c>
      <c r="D49" s="4" t="s">
        <v>783</v>
      </c>
      <c r="E49" s="3" t="s">
        <v>369</v>
      </c>
      <c r="F49" s="4" t="s">
        <v>113</v>
      </c>
      <c r="G49" s="3" t="s">
        <v>368</v>
      </c>
      <c r="H49" s="3" t="s">
        <v>386</v>
      </c>
      <c r="I49" s="4" t="s">
        <v>94</v>
      </c>
      <c r="J49" s="3" t="s">
        <v>368</v>
      </c>
      <c r="K49" s="4" t="s">
        <v>94</v>
      </c>
      <c r="L49" s="3" t="s">
        <v>432</v>
      </c>
      <c r="M49" s="4" t="s">
        <v>113</v>
      </c>
      <c r="N49" s="8" t="s">
        <v>784</v>
      </c>
    </row>
    <row r="50" spans="1:14" ht="18" customHeight="1" x14ac:dyDescent="0.3">
      <c r="A50" s="7" t="s">
        <v>373</v>
      </c>
      <c r="B50" s="4" t="s">
        <v>94</v>
      </c>
      <c r="C50" s="3" t="s">
        <v>369</v>
      </c>
      <c r="D50" s="4" t="s">
        <v>783</v>
      </c>
      <c r="E50" s="3" t="s">
        <v>371</v>
      </c>
      <c r="F50" s="4" t="s">
        <v>114</v>
      </c>
      <c r="G50" s="3" t="s">
        <v>368</v>
      </c>
      <c r="H50" s="3" t="s">
        <v>386</v>
      </c>
      <c r="I50" s="4" t="s">
        <v>94</v>
      </c>
      <c r="J50" s="3" t="s">
        <v>368</v>
      </c>
      <c r="K50" s="4" t="s">
        <v>94</v>
      </c>
      <c r="L50" s="3" t="s">
        <v>406</v>
      </c>
      <c r="M50" s="4" t="s">
        <v>782</v>
      </c>
      <c r="N50" s="8" t="s">
        <v>781</v>
      </c>
    </row>
    <row r="51" spans="1:14" ht="18" customHeight="1" x14ac:dyDescent="0.3">
      <c r="A51" s="7" t="s">
        <v>373</v>
      </c>
      <c r="B51" s="4" t="s">
        <v>691</v>
      </c>
      <c r="C51" s="3" t="s">
        <v>371</v>
      </c>
      <c r="D51" s="4" t="s">
        <v>691</v>
      </c>
      <c r="E51" s="3" t="s">
        <v>368</v>
      </c>
      <c r="F51" s="4" t="s">
        <v>116</v>
      </c>
      <c r="G51" s="3" t="s">
        <v>368</v>
      </c>
      <c r="H51" s="3" t="s">
        <v>381</v>
      </c>
      <c r="I51" s="4" t="s">
        <v>691</v>
      </c>
      <c r="J51" s="3" t="s">
        <v>391</v>
      </c>
      <c r="K51" s="4" t="s">
        <v>780</v>
      </c>
      <c r="L51" s="3" t="s">
        <v>368</v>
      </c>
      <c r="M51" s="4" t="s">
        <v>780</v>
      </c>
      <c r="N51" s="8" t="s">
        <v>779</v>
      </c>
    </row>
    <row r="52" spans="1:14" ht="18" customHeight="1" x14ac:dyDescent="0.3">
      <c r="A52" s="7" t="s">
        <v>373</v>
      </c>
      <c r="B52" s="4" t="s">
        <v>691</v>
      </c>
      <c r="C52" s="5" t="s">
        <v>371</v>
      </c>
      <c r="D52" s="6" t="s">
        <v>691</v>
      </c>
      <c r="E52" s="5" t="s">
        <v>391</v>
      </c>
      <c r="F52" s="6" t="s">
        <v>117</v>
      </c>
      <c r="G52" s="5" t="s">
        <v>368</v>
      </c>
      <c r="H52" s="5" t="s">
        <v>381</v>
      </c>
      <c r="I52" s="6" t="s">
        <v>691</v>
      </c>
      <c r="J52" s="5" t="s">
        <v>368</v>
      </c>
      <c r="K52" s="6" t="s">
        <v>777</v>
      </c>
      <c r="L52" s="5" t="s">
        <v>390</v>
      </c>
      <c r="M52" s="6" t="s">
        <v>691</v>
      </c>
      <c r="N52" s="9" t="s">
        <v>778</v>
      </c>
    </row>
    <row r="53" spans="1:14" ht="18" customHeight="1" x14ac:dyDescent="0.3">
      <c r="A53" s="7" t="s">
        <v>373</v>
      </c>
      <c r="B53" s="4" t="s">
        <v>691</v>
      </c>
      <c r="C53" s="5" t="s">
        <v>371</v>
      </c>
      <c r="D53" s="6" t="s">
        <v>691</v>
      </c>
      <c r="E53" s="5" t="s">
        <v>379</v>
      </c>
      <c r="F53" s="6" t="s">
        <v>120</v>
      </c>
      <c r="G53" s="5" t="s">
        <v>368</v>
      </c>
      <c r="H53" s="5" t="s">
        <v>381</v>
      </c>
      <c r="I53" s="6" t="s">
        <v>691</v>
      </c>
      <c r="J53" s="5" t="s">
        <v>368</v>
      </c>
      <c r="K53" s="6" t="s">
        <v>777</v>
      </c>
      <c r="L53" s="5" t="s">
        <v>388</v>
      </c>
      <c r="M53" s="6" t="s">
        <v>691</v>
      </c>
      <c r="N53" s="9" t="s">
        <v>776</v>
      </c>
    </row>
    <row r="54" spans="1:14" ht="18" customHeight="1" x14ac:dyDescent="0.3">
      <c r="A54" s="7" t="s">
        <v>373</v>
      </c>
      <c r="B54" s="4" t="s">
        <v>691</v>
      </c>
      <c r="C54" s="3" t="s">
        <v>371</v>
      </c>
      <c r="D54" s="4" t="s">
        <v>691</v>
      </c>
      <c r="E54" s="3" t="s">
        <v>386</v>
      </c>
      <c r="F54" s="4" t="s">
        <v>121</v>
      </c>
      <c r="G54" s="3" t="s">
        <v>368</v>
      </c>
      <c r="H54" s="3" t="s">
        <v>381</v>
      </c>
      <c r="I54" s="4" t="s">
        <v>691</v>
      </c>
      <c r="J54" s="3" t="s">
        <v>386</v>
      </c>
      <c r="K54" s="4" t="s">
        <v>121</v>
      </c>
      <c r="L54" s="3" t="s">
        <v>368</v>
      </c>
      <c r="M54" s="4" t="s">
        <v>121</v>
      </c>
      <c r="N54" s="8" t="s">
        <v>775</v>
      </c>
    </row>
    <row r="55" spans="1:14" ht="18" customHeight="1" x14ac:dyDescent="0.3">
      <c r="A55" s="7" t="s">
        <v>373</v>
      </c>
      <c r="B55" s="4" t="s">
        <v>691</v>
      </c>
      <c r="C55" s="3" t="s">
        <v>371</v>
      </c>
      <c r="D55" s="4" t="s">
        <v>691</v>
      </c>
      <c r="E55" s="3" t="s">
        <v>381</v>
      </c>
      <c r="F55" s="4" t="s">
        <v>122</v>
      </c>
      <c r="G55" s="3" t="s">
        <v>368</v>
      </c>
      <c r="H55" s="3" t="s">
        <v>407</v>
      </c>
      <c r="I55" s="4" t="s">
        <v>727</v>
      </c>
      <c r="J55" s="3" t="s">
        <v>375</v>
      </c>
      <c r="K55" s="4" t="s">
        <v>733</v>
      </c>
      <c r="L55" s="3" t="s">
        <v>377</v>
      </c>
      <c r="M55" s="4" t="s">
        <v>774</v>
      </c>
      <c r="N55" s="8" t="s">
        <v>773</v>
      </c>
    </row>
    <row r="56" spans="1:14" ht="18" customHeight="1" x14ac:dyDescent="0.3">
      <c r="A56" s="7" t="s">
        <v>373</v>
      </c>
      <c r="B56" s="4" t="s">
        <v>691</v>
      </c>
      <c r="C56" s="3" t="s">
        <v>371</v>
      </c>
      <c r="D56" s="4" t="s">
        <v>691</v>
      </c>
      <c r="E56" s="3" t="s">
        <v>369</v>
      </c>
      <c r="F56" s="4" t="s">
        <v>124</v>
      </c>
      <c r="G56" s="3" t="s">
        <v>368</v>
      </c>
      <c r="H56" s="3" t="s">
        <v>381</v>
      </c>
      <c r="I56" s="4" t="s">
        <v>691</v>
      </c>
      <c r="J56" s="3" t="s">
        <v>381</v>
      </c>
      <c r="K56" s="4" t="s">
        <v>772</v>
      </c>
      <c r="L56" s="3" t="s">
        <v>407</v>
      </c>
      <c r="M56" s="4" t="s">
        <v>98</v>
      </c>
      <c r="N56" s="8" t="s">
        <v>771</v>
      </c>
    </row>
    <row r="57" spans="1:14" ht="18" customHeight="1" x14ac:dyDescent="0.3">
      <c r="A57" s="7" t="s">
        <v>373</v>
      </c>
      <c r="B57" s="4" t="s">
        <v>691</v>
      </c>
      <c r="C57" s="3" t="s">
        <v>371</v>
      </c>
      <c r="D57" s="4" t="s">
        <v>691</v>
      </c>
      <c r="E57" s="3" t="s">
        <v>371</v>
      </c>
      <c r="F57" s="4" t="s">
        <v>125</v>
      </c>
      <c r="G57" s="3" t="s">
        <v>368</v>
      </c>
      <c r="H57" s="3" t="s">
        <v>381</v>
      </c>
      <c r="I57" s="4" t="s">
        <v>691</v>
      </c>
      <c r="J57" s="3" t="s">
        <v>377</v>
      </c>
      <c r="K57" s="4" t="s">
        <v>770</v>
      </c>
      <c r="L57" s="3" t="s">
        <v>368</v>
      </c>
      <c r="M57" s="4" t="s">
        <v>769</v>
      </c>
      <c r="N57" s="8" t="s">
        <v>768</v>
      </c>
    </row>
    <row r="58" spans="1:14" ht="18" customHeight="1" x14ac:dyDescent="0.3">
      <c r="A58" s="7" t="s">
        <v>373</v>
      </c>
      <c r="B58" s="4" t="s">
        <v>752</v>
      </c>
      <c r="C58" s="3" t="s">
        <v>407</v>
      </c>
      <c r="D58" s="4" t="s">
        <v>752</v>
      </c>
      <c r="E58" s="3" t="s">
        <v>368</v>
      </c>
      <c r="F58" s="4" t="s">
        <v>126</v>
      </c>
      <c r="G58" s="3" t="s">
        <v>368</v>
      </c>
      <c r="H58" s="3" t="s">
        <v>430</v>
      </c>
      <c r="I58" s="4" t="s">
        <v>646</v>
      </c>
      <c r="J58" s="3" t="s">
        <v>379</v>
      </c>
      <c r="K58" s="4" t="s">
        <v>126</v>
      </c>
      <c r="L58" s="3" t="s">
        <v>368</v>
      </c>
      <c r="M58" s="4" t="s">
        <v>126</v>
      </c>
      <c r="N58" s="8" t="s">
        <v>767</v>
      </c>
    </row>
    <row r="59" spans="1:14" ht="18" customHeight="1" x14ac:dyDescent="0.3">
      <c r="A59" s="7" t="s">
        <v>373</v>
      </c>
      <c r="B59" s="4" t="s">
        <v>752</v>
      </c>
      <c r="C59" s="3" t="s">
        <v>407</v>
      </c>
      <c r="D59" s="4" t="s">
        <v>752</v>
      </c>
      <c r="E59" s="3" t="s">
        <v>391</v>
      </c>
      <c r="F59" s="4" t="s">
        <v>127</v>
      </c>
      <c r="G59" s="3" t="s">
        <v>368</v>
      </c>
      <c r="H59" s="3" t="s">
        <v>369</v>
      </c>
      <c r="I59" s="4" t="s">
        <v>752</v>
      </c>
      <c r="J59" s="3" t="s">
        <v>391</v>
      </c>
      <c r="K59" s="4" t="s">
        <v>127</v>
      </c>
      <c r="L59" s="3" t="s">
        <v>368</v>
      </c>
      <c r="M59" s="4" t="s">
        <v>127</v>
      </c>
      <c r="N59" s="8" t="s">
        <v>766</v>
      </c>
    </row>
    <row r="60" spans="1:14" ht="18" customHeight="1" x14ac:dyDescent="0.3">
      <c r="A60" s="7" t="s">
        <v>373</v>
      </c>
      <c r="B60" s="4" t="s">
        <v>752</v>
      </c>
      <c r="C60" s="5" t="s">
        <v>407</v>
      </c>
      <c r="D60" s="6" t="s">
        <v>752</v>
      </c>
      <c r="E60" s="5" t="s">
        <v>379</v>
      </c>
      <c r="F60" s="6" t="s">
        <v>129</v>
      </c>
      <c r="G60" s="5" t="s">
        <v>368</v>
      </c>
      <c r="H60" s="5" t="s">
        <v>369</v>
      </c>
      <c r="I60" s="6" t="s">
        <v>752</v>
      </c>
      <c r="J60" s="5" t="s">
        <v>368</v>
      </c>
      <c r="K60" s="6" t="s">
        <v>752</v>
      </c>
      <c r="L60" s="5" t="s">
        <v>390</v>
      </c>
      <c r="M60" s="6" t="s">
        <v>752</v>
      </c>
      <c r="N60" s="9" t="s">
        <v>765</v>
      </c>
    </row>
    <row r="61" spans="1:14" ht="18" customHeight="1" x14ac:dyDescent="0.3">
      <c r="A61" s="7" t="s">
        <v>373</v>
      </c>
      <c r="B61" s="4" t="s">
        <v>752</v>
      </c>
      <c r="C61" s="5" t="s">
        <v>407</v>
      </c>
      <c r="D61" s="6" t="s">
        <v>752</v>
      </c>
      <c r="E61" s="5" t="s">
        <v>386</v>
      </c>
      <c r="F61" s="6" t="s">
        <v>130</v>
      </c>
      <c r="G61" s="5" t="s">
        <v>368</v>
      </c>
      <c r="H61" s="5" t="s">
        <v>369</v>
      </c>
      <c r="I61" s="6" t="s">
        <v>752</v>
      </c>
      <c r="J61" s="5" t="s">
        <v>368</v>
      </c>
      <c r="K61" s="6" t="s">
        <v>752</v>
      </c>
      <c r="L61" s="5" t="s">
        <v>388</v>
      </c>
      <c r="M61" s="6" t="s">
        <v>752</v>
      </c>
      <c r="N61" s="9" t="s">
        <v>764</v>
      </c>
    </row>
    <row r="62" spans="1:14" ht="18" customHeight="1" x14ac:dyDescent="0.3">
      <c r="A62" s="7" t="s">
        <v>373</v>
      </c>
      <c r="B62" s="4" t="s">
        <v>752</v>
      </c>
      <c r="C62" s="5" t="s">
        <v>407</v>
      </c>
      <c r="D62" s="6" t="s">
        <v>752</v>
      </c>
      <c r="E62" s="5" t="s">
        <v>381</v>
      </c>
      <c r="F62" s="6" t="s">
        <v>131</v>
      </c>
      <c r="G62" s="5" t="s">
        <v>368</v>
      </c>
      <c r="H62" s="5" t="s">
        <v>369</v>
      </c>
      <c r="I62" s="6" t="s">
        <v>752</v>
      </c>
      <c r="J62" s="5" t="s">
        <v>368</v>
      </c>
      <c r="K62" s="6" t="s">
        <v>752</v>
      </c>
      <c r="L62" s="5" t="s">
        <v>384</v>
      </c>
      <c r="M62" s="6" t="s">
        <v>752</v>
      </c>
      <c r="N62" s="9" t="s">
        <v>763</v>
      </c>
    </row>
    <row r="63" spans="1:14" ht="18" customHeight="1" x14ac:dyDescent="0.3">
      <c r="A63" s="7" t="s">
        <v>373</v>
      </c>
      <c r="B63" s="4" t="s">
        <v>752</v>
      </c>
      <c r="C63" s="3" t="s">
        <v>407</v>
      </c>
      <c r="D63" s="4" t="s">
        <v>752</v>
      </c>
      <c r="E63" s="3" t="s">
        <v>369</v>
      </c>
      <c r="F63" s="4" t="s">
        <v>132</v>
      </c>
      <c r="G63" s="3" t="s">
        <v>368</v>
      </c>
      <c r="H63" s="3" t="s">
        <v>369</v>
      </c>
      <c r="I63" s="4" t="s">
        <v>752</v>
      </c>
      <c r="J63" s="3" t="s">
        <v>379</v>
      </c>
      <c r="K63" s="4" t="s">
        <v>132</v>
      </c>
      <c r="L63" s="3" t="s">
        <v>368</v>
      </c>
      <c r="M63" s="4" t="s">
        <v>132</v>
      </c>
      <c r="N63" s="8" t="s">
        <v>762</v>
      </c>
    </row>
    <row r="64" spans="1:14" ht="18" customHeight="1" x14ac:dyDescent="0.3">
      <c r="A64" s="7" t="s">
        <v>373</v>
      </c>
      <c r="B64" s="4" t="s">
        <v>752</v>
      </c>
      <c r="C64" s="3" t="s">
        <v>407</v>
      </c>
      <c r="D64" s="4" t="s">
        <v>752</v>
      </c>
      <c r="E64" s="3" t="s">
        <v>371</v>
      </c>
      <c r="F64" s="4" t="s">
        <v>41</v>
      </c>
      <c r="G64" s="3" t="s">
        <v>368</v>
      </c>
      <c r="H64" s="3" t="s">
        <v>369</v>
      </c>
      <c r="I64" s="4" t="s">
        <v>752</v>
      </c>
      <c r="J64" s="3" t="s">
        <v>386</v>
      </c>
      <c r="K64" s="4" t="s">
        <v>41</v>
      </c>
      <c r="L64" s="3" t="s">
        <v>368</v>
      </c>
      <c r="M64" s="4" t="s">
        <v>41</v>
      </c>
      <c r="N64" s="8" t="s">
        <v>761</v>
      </c>
    </row>
    <row r="65" spans="1:14" ht="18" customHeight="1" x14ac:dyDescent="0.3">
      <c r="A65" s="7" t="s">
        <v>373</v>
      </c>
      <c r="B65" s="4" t="s">
        <v>752</v>
      </c>
      <c r="C65" s="3" t="s">
        <v>407</v>
      </c>
      <c r="D65" s="4" t="s">
        <v>752</v>
      </c>
      <c r="E65" s="3" t="s">
        <v>407</v>
      </c>
      <c r="F65" s="4" t="s">
        <v>133</v>
      </c>
      <c r="G65" s="3" t="s">
        <v>368</v>
      </c>
      <c r="H65" s="3" t="s">
        <v>369</v>
      </c>
      <c r="I65" s="4" t="s">
        <v>752</v>
      </c>
      <c r="J65" s="3" t="s">
        <v>381</v>
      </c>
      <c r="K65" s="4" t="s">
        <v>133</v>
      </c>
      <c r="L65" s="3" t="s">
        <v>368</v>
      </c>
      <c r="M65" s="4" t="s">
        <v>133</v>
      </c>
      <c r="N65" s="8" t="s">
        <v>760</v>
      </c>
    </row>
    <row r="66" spans="1:14" ht="18" customHeight="1" x14ac:dyDescent="0.3">
      <c r="A66" s="7" t="s">
        <v>373</v>
      </c>
      <c r="B66" s="4" t="s">
        <v>752</v>
      </c>
      <c r="C66" s="3" t="s">
        <v>407</v>
      </c>
      <c r="D66" s="4" t="s">
        <v>752</v>
      </c>
      <c r="E66" s="3" t="s">
        <v>375</v>
      </c>
      <c r="F66" s="4" t="s">
        <v>134</v>
      </c>
      <c r="G66" s="3" t="s">
        <v>368</v>
      </c>
      <c r="H66" s="3" t="s">
        <v>369</v>
      </c>
      <c r="I66" s="4" t="s">
        <v>752</v>
      </c>
      <c r="J66" s="3" t="s">
        <v>369</v>
      </c>
      <c r="K66" s="4" t="s">
        <v>134</v>
      </c>
      <c r="L66" s="3" t="s">
        <v>368</v>
      </c>
      <c r="M66" s="4" t="s">
        <v>134</v>
      </c>
      <c r="N66" s="8" t="s">
        <v>759</v>
      </c>
    </row>
    <row r="67" spans="1:14" ht="18" customHeight="1" x14ac:dyDescent="0.3">
      <c r="A67" s="7" t="s">
        <v>373</v>
      </c>
      <c r="B67" s="4" t="s">
        <v>752</v>
      </c>
      <c r="C67" s="3" t="s">
        <v>407</v>
      </c>
      <c r="D67" s="4" t="s">
        <v>752</v>
      </c>
      <c r="E67" s="3" t="s">
        <v>377</v>
      </c>
      <c r="F67" s="4" t="s">
        <v>135</v>
      </c>
      <c r="G67" s="3" t="s">
        <v>368</v>
      </c>
      <c r="H67" s="3" t="s">
        <v>369</v>
      </c>
      <c r="I67" s="4" t="s">
        <v>752</v>
      </c>
      <c r="J67" s="3" t="s">
        <v>371</v>
      </c>
      <c r="K67" s="4" t="s">
        <v>135</v>
      </c>
      <c r="L67" s="3" t="s">
        <v>368</v>
      </c>
      <c r="M67" s="4" t="s">
        <v>758</v>
      </c>
      <c r="N67" s="8" t="s">
        <v>757</v>
      </c>
    </row>
    <row r="68" spans="1:14" ht="18" customHeight="1" x14ac:dyDescent="0.3">
      <c r="A68" s="7" t="s">
        <v>373</v>
      </c>
      <c r="B68" s="4" t="s">
        <v>752</v>
      </c>
      <c r="C68" s="3" t="s">
        <v>407</v>
      </c>
      <c r="D68" s="4" t="s">
        <v>752</v>
      </c>
      <c r="E68" s="3" t="s">
        <v>435</v>
      </c>
      <c r="F68" s="4" t="s">
        <v>136</v>
      </c>
      <c r="G68" s="3" t="s">
        <v>368</v>
      </c>
      <c r="H68" s="3" t="s">
        <v>369</v>
      </c>
      <c r="I68" s="4" t="s">
        <v>752</v>
      </c>
      <c r="J68" s="3" t="s">
        <v>377</v>
      </c>
      <c r="K68" s="4" t="s">
        <v>136</v>
      </c>
      <c r="L68" s="3" t="s">
        <v>368</v>
      </c>
      <c r="M68" s="4" t="s">
        <v>756</v>
      </c>
      <c r="N68" s="8" t="s">
        <v>755</v>
      </c>
    </row>
    <row r="69" spans="1:14" ht="18" customHeight="1" x14ac:dyDescent="0.3">
      <c r="A69" s="7" t="s">
        <v>373</v>
      </c>
      <c r="B69" s="4" t="s">
        <v>752</v>
      </c>
      <c r="C69" s="3" t="s">
        <v>407</v>
      </c>
      <c r="D69" s="4" t="s">
        <v>752</v>
      </c>
      <c r="E69" s="3" t="s">
        <v>432</v>
      </c>
      <c r="F69" s="4" t="s">
        <v>137</v>
      </c>
      <c r="G69" s="3" t="s">
        <v>368</v>
      </c>
      <c r="H69" s="3" t="s">
        <v>369</v>
      </c>
      <c r="I69" s="4" t="s">
        <v>752</v>
      </c>
      <c r="J69" s="3" t="s">
        <v>435</v>
      </c>
      <c r="K69" s="4" t="s">
        <v>255</v>
      </c>
      <c r="L69" s="3" t="s">
        <v>368</v>
      </c>
      <c r="M69" s="4" t="s">
        <v>255</v>
      </c>
      <c r="N69" s="8" t="s">
        <v>754</v>
      </c>
    </row>
    <row r="70" spans="1:14" ht="18" customHeight="1" x14ac:dyDescent="0.3">
      <c r="A70" s="7" t="s">
        <v>373</v>
      </c>
      <c r="B70" s="4" t="s">
        <v>752</v>
      </c>
      <c r="C70" s="3" t="s">
        <v>407</v>
      </c>
      <c r="D70" s="4" t="s">
        <v>752</v>
      </c>
      <c r="E70" s="3" t="s">
        <v>430</v>
      </c>
      <c r="F70" s="4" t="s">
        <v>138</v>
      </c>
      <c r="G70" s="3" t="s">
        <v>368</v>
      </c>
      <c r="H70" s="3" t="s">
        <v>369</v>
      </c>
      <c r="I70" s="4" t="s">
        <v>752</v>
      </c>
      <c r="J70" s="3" t="s">
        <v>432</v>
      </c>
      <c r="K70" s="4" t="s">
        <v>138</v>
      </c>
      <c r="L70" s="3" t="s">
        <v>368</v>
      </c>
      <c r="M70" s="4" t="s">
        <v>138</v>
      </c>
      <c r="N70" s="8" t="s">
        <v>753</v>
      </c>
    </row>
    <row r="71" spans="1:14" ht="18" customHeight="1" x14ac:dyDescent="0.3">
      <c r="A71" s="7" t="s">
        <v>373</v>
      </c>
      <c r="B71" s="4" t="s">
        <v>752</v>
      </c>
      <c r="C71" s="3" t="s">
        <v>407</v>
      </c>
      <c r="D71" s="4" t="s">
        <v>752</v>
      </c>
      <c r="E71" s="3" t="s">
        <v>554</v>
      </c>
      <c r="F71" s="4" t="s">
        <v>19</v>
      </c>
      <c r="G71" s="3" t="s">
        <v>368</v>
      </c>
      <c r="H71" s="3" t="s">
        <v>369</v>
      </c>
      <c r="I71" s="4" t="s">
        <v>752</v>
      </c>
      <c r="J71" s="3" t="s">
        <v>430</v>
      </c>
      <c r="K71" s="4" t="s">
        <v>19</v>
      </c>
      <c r="L71" s="3" t="s">
        <v>368</v>
      </c>
      <c r="M71" s="4" t="s">
        <v>19</v>
      </c>
      <c r="N71" s="8" t="s">
        <v>751</v>
      </c>
    </row>
    <row r="72" spans="1:14" ht="18" customHeight="1" x14ac:dyDescent="0.3">
      <c r="A72" s="7" t="s">
        <v>537</v>
      </c>
      <c r="B72" s="4" t="s">
        <v>536</v>
      </c>
      <c r="C72" s="5" t="s">
        <v>375</v>
      </c>
      <c r="D72" s="6" t="s">
        <v>70</v>
      </c>
      <c r="E72" s="5" t="s">
        <v>368</v>
      </c>
      <c r="F72" s="6" t="s">
        <v>139</v>
      </c>
      <c r="G72" s="5" t="s">
        <v>368</v>
      </c>
      <c r="H72" s="5" t="s">
        <v>371</v>
      </c>
      <c r="I72" s="6" t="s">
        <v>70</v>
      </c>
      <c r="J72" s="5" t="s">
        <v>368</v>
      </c>
      <c r="K72" s="6" t="s">
        <v>70</v>
      </c>
      <c r="L72" s="5" t="s">
        <v>390</v>
      </c>
      <c r="M72" s="6" t="s">
        <v>70</v>
      </c>
      <c r="N72" s="9" t="s">
        <v>750</v>
      </c>
    </row>
    <row r="73" spans="1:14" ht="18" customHeight="1" x14ac:dyDescent="0.3">
      <c r="A73" s="7" t="s">
        <v>537</v>
      </c>
      <c r="B73" s="4" t="s">
        <v>536</v>
      </c>
      <c r="C73" s="5" t="s">
        <v>375</v>
      </c>
      <c r="D73" s="6" t="s">
        <v>70</v>
      </c>
      <c r="E73" s="5" t="s">
        <v>391</v>
      </c>
      <c r="F73" s="6" t="s">
        <v>140</v>
      </c>
      <c r="G73" s="5" t="s">
        <v>368</v>
      </c>
      <c r="H73" s="5" t="s">
        <v>371</v>
      </c>
      <c r="I73" s="6" t="s">
        <v>70</v>
      </c>
      <c r="J73" s="5" t="s">
        <v>368</v>
      </c>
      <c r="K73" s="6" t="s">
        <v>70</v>
      </c>
      <c r="L73" s="5" t="s">
        <v>388</v>
      </c>
      <c r="M73" s="6" t="s">
        <v>70</v>
      </c>
      <c r="N73" s="9" t="s">
        <v>749</v>
      </c>
    </row>
    <row r="74" spans="1:14" ht="18" customHeight="1" x14ac:dyDescent="0.3">
      <c r="A74" s="7" t="s">
        <v>537</v>
      </c>
      <c r="B74" s="4" t="s">
        <v>536</v>
      </c>
      <c r="C74" s="5" t="s">
        <v>375</v>
      </c>
      <c r="D74" s="6" t="s">
        <v>70</v>
      </c>
      <c r="E74" s="5" t="s">
        <v>379</v>
      </c>
      <c r="F74" s="6" t="s">
        <v>143</v>
      </c>
      <c r="G74" s="5" t="s">
        <v>368</v>
      </c>
      <c r="H74" s="5" t="s">
        <v>371</v>
      </c>
      <c r="I74" s="6" t="s">
        <v>70</v>
      </c>
      <c r="J74" s="5" t="s">
        <v>368</v>
      </c>
      <c r="K74" s="6" t="s">
        <v>70</v>
      </c>
      <c r="L74" s="5" t="s">
        <v>384</v>
      </c>
      <c r="M74" s="6" t="s">
        <v>70</v>
      </c>
      <c r="N74" s="9" t="s">
        <v>748</v>
      </c>
    </row>
    <row r="75" spans="1:14" ht="18" customHeight="1" x14ac:dyDescent="0.3">
      <c r="A75" s="7" t="s">
        <v>537</v>
      </c>
      <c r="B75" s="4" t="s">
        <v>536</v>
      </c>
      <c r="C75" s="5" t="s">
        <v>375</v>
      </c>
      <c r="D75" s="6" t="s">
        <v>70</v>
      </c>
      <c r="E75" s="5" t="s">
        <v>386</v>
      </c>
      <c r="F75" s="6" t="s">
        <v>144</v>
      </c>
      <c r="G75" s="5" t="s">
        <v>368</v>
      </c>
      <c r="H75" s="5" t="s">
        <v>371</v>
      </c>
      <c r="I75" s="6" t="s">
        <v>70</v>
      </c>
      <c r="J75" s="5" t="s">
        <v>368</v>
      </c>
      <c r="K75" s="6" t="s">
        <v>70</v>
      </c>
      <c r="L75" s="5" t="s">
        <v>592</v>
      </c>
      <c r="M75" s="6" t="s">
        <v>746</v>
      </c>
      <c r="N75" s="9" t="s">
        <v>747</v>
      </c>
    </row>
    <row r="76" spans="1:14" ht="18" customHeight="1" x14ac:dyDescent="0.3">
      <c r="A76" s="7" t="s">
        <v>537</v>
      </c>
      <c r="B76" s="4" t="s">
        <v>536</v>
      </c>
      <c r="C76" s="5" t="s">
        <v>375</v>
      </c>
      <c r="D76" s="6" t="s">
        <v>70</v>
      </c>
      <c r="E76" s="5" t="s">
        <v>381</v>
      </c>
      <c r="F76" s="6" t="s">
        <v>145</v>
      </c>
      <c r="G76" s="5" t="s">
        <v>368</v>
      </c>
      <c r="H76" s="5" t="s">
        <v>371</v>
      </c>
      <c r="I76" s="6" t="s">
        <v>70</v>
      </c>
      <c r="J76" s="5" t="s">
        <v>368</v>
      </c>
      <c r="K76" s="6" t="s">
        <v>70</v>
      </c>
      <c r="L76" s="5" t="s">
        <v>590</v>
      </c>
      <c r="M76" s="6" t="s">
        <v>746</v>
      </c>
      <c r="N76" s="9" t="s">
        <v>745</v>
      </c>
    </row>
    <row r="77" spans="1:14" ht="18" customHeight="1" x14ac:dyDescent="0.3">
      <c r="A77" s="7" t="s">
        <v>373</v>
      </c>
      <c r="B77" s="4" t="s">
        <v>727</v>
      </c>
      <c r="C77" s="3" t="s">
        <v>377</v>
      </c>
      <c r="D77" s="4" t="s">
        <v>727</v>
      </c>
      <c r="E77" s="3" t="s">
        <v>368</v>
      </c>
      <c r="F77" s="4" t="s">
        <v>146</v>
      </c>
      <c r="G77" s="3" t="s">
        <v>368</v>
      </c>
      <c r="H77" s="3" t="s">
        <v>407</v>
      </c>
      <c r="I77" s="4" t="s">
        <v>727</v>
      </c>
      <c r="J77" s="3" t="s">
        <v>391</v>
      </c>
      <c r="K77" s="4" t="s">
        <v>146</v>
      </c>
      <c r="L77" s="3" t="s">
        <v>368</v>
      </c>
      <c r="M77" s="4" t="s">
        <v>146</v>
      </c>
      <c r="N77" s="8" t="s">
        <v>744</v>
      </c>
    </row>
    <row r="78" spans="1:14" ht="18" customHeight="1" x14ac:dyDescent="0.3">
      <c r="A78" s="7" t="s">
        <v>373</v>
      </c>
      <c r="B78" s="4" t="s">
        <v>727</v>
      </c>
      <c r="C78" s="3" t="s">
        <v>377</v>
      </c>
      <c r="D78" s="4" t="s">
        <v>727</v>
      </c>
      <c r="E78" s="3" t="s">
        <v>391</v>
      </c>
      <c r="F78" s="4" t="s">
        <v>147</v>
      </c>
      <c r="G78" s="3" t="s">
        <v>368</v>
      </c>
      <c r="H78" s="3" t="s">
        <v>407</v>
      </c>
      <c r="I78" s="4" t="s">
        <v>727</v>
      </c>
      <c r="J78" s="3" t="s">
        <v>379</v>
      </c>
      <c r="K78" s="4" t="s">
        <v>147</v>
      </c>
      <c r="L78" s="3" t="s">
        <v>368</v>
      </c>
      <c r="M78" s="4" t="s">
        <v>147</v>
      </c>
      <c r="N78" s="8" t="s">
        <v>743</v>
      </c>
    </row>
    <row r="79" spans="1:14" ht="18" customHeight="1" x14ac:dyDescent="0.3">
      <c r="A79" s="7" t="s">
        <v>373</v>
      </c>
      <c r="B79" s="4" t="s">
        <v>727</v>
      </c>
      <c r="C79" s="3" t="s">
        <v>377</v>
      </c>
      <c r="D79" s="4" t="s">
        <v>727</v>
      </c>
      <c r="E79" s="3" t="s">
        <v>379</v>
      </c>
      <c r="F79" s="4" t="s">
        <v>148</v>
      </c>
      <c r="G79" s="3" t="s">
        <v>368</v>
      </c>
      <c r="H79" s="3" t="s">
        <v>407</v>
      </c>
      <c r="I79" s="4" t="s">
        <v>727</v>
      </c>
      <c r="J79" s="3" t="s">
        <v>386</v>
      </c>
      <c r="K79" s="4" t="s">
        <v>148</v>
      </c>
      <c r="L79" s="3" t="s">
        <v>368</v>
      </c>
      <c r="M79" s="4" t="s">
        <v>148</v>
      </c>
      <c r="N79" s="8" t="s">
        <v>742</v>
      </c>
    </row>
    <row r="80" spans="1:14" ht="18" customHeight="1" x14ac:dyDescent="0.3">
      <c r="A80" s="7" t="s">
        <v>373</v>
      </c>
      <c r="B80" s="4" t="s">
        <v>727</v>
      </c>
      <c r="C80" s="3" t="s">
        <v>377</v>
      </c>
      <c r="D80" s="4" t="s">
        <v>727</v>
      </c>
      <c r="E80" s="3" t="s">
        <v>386</v>
      </c>
      <c r="F80" s="4" t="s">
        <v>149</v>
      </c>
      <c r="G80" s="3" t="s">
        <v>368</v>
      </c>
      <c r="H80" s="3" t="s">
        <v>407</v>
      </c>
      <c r="I80" s="4" t="s">
        <v>727</v>
      </c>
      <c r="J80" s="3" t="s">
        <v>369</v>
      </c>
      <c r="K80" s="4" t="s">
        <v>149</v>
      </c>
      <c r="L80" s="3" t="s">
        <v>368</v>
      </c>
      <c r="M80" s="4" t="s">
        <v>741</v>
      </c>
      <c r="N80" s="8" t="s">
        <v>740</v>
      </c>
    </row>
    <row r="81" spans="1:14" ht="18" customHeight="1" x14ac:dyDescent="0.3">
      <c r="A81" s="7" t="s">
        <v>373</v>
      </c>
      <c r="B81" s="4" t="s">
        <v>727</v>
      </c>
      <c r="C81" s="3" t="s">
        <v>377</v>
      </c>
      <c r="D81" s="4" t="s">
        <v>727</v>
      </c>
      <c r="E81" s="3" t="s">
        <v>381</v>
      </c>
      <c r="F81" s="4" t="s">
        <v>151</v>
      </c>
      <c r="G81" s="3" t="s">
        <v>368</v>
      </c>
      <c r="H81" s="3" t="s">
        <v>407</v>
      </c>
      <c r="I81" s="4" t="s">
        <v>727</v>
      </c>
      <c r="J81" s="3" t="s">
        <v>371</v>
      </c>
      <c r="K81" s="4" t="s">
        <v>151</v>
      </c>
      <c r="L81" s="3" t="s">
        <v>368</v>
      </c>
      <c r="M81" s="4" t="s">
        <v>739</v>
      </c>
      <c r="N81" s="8" t="s">
        <v>738</v>
      </c>
    </row>
    <row r="82" spans="1:14" ht="18" customHeight="1" x14ac:dyDescent="0.3">
      <c r="A82" s="7" t="s">
        <v>373</v>
      </c>
      <c r="B82" s="4" t="s">
        <v>727</v>
      </c>
      <c r="C82" s="5" t="s">
        <v>377</v>
      </c>
      <c r="D82" s="6" t="s">
        <v>727</v>
      </c>
      <c r="E82" s="5" t="s">
        <v>369</v>
      </c>
      <c r="F82" s="6" t="s">
        <v>152</v>
      </c>
      <c r="G82" s="5" t="s">
        <v>368</v>
      </c>
      <c r="H82" s="5" t="s">
        <v>407</v>
      </c>
      <c r="I82" s="6" t="s">
        <v>727</v>
      </c>
      <c r="J82" s="5" t="s">
        <v>368</v>
      </c>
      <c r="K82" s="6" t="s">
        <v>727</v>
      </c>
      <c r="L82" s="5" t="s">
        <v>390</v>
      </c>
      <c r="M82" s="6" t="s">
        <v>727</v>
      </c>
      <c r="N82" s="9" t="s">
        <v>737</v>
      </c>
    </row>
    <row r="83" spans="1:14" ht="18" customHeight="1" x14ac:dyDescent="0.3">
      <c r="A83" s="7" t="s">
        <v>373</v>
      </c>
      <c r="B83" s="4" t="s">
        <v>727</v>
      </c>
      <c r="C83" s="5" t="s">
        <v>377</v>
      </c>
      <c r="D83" s="6" t="s">
        <v>727</v>
      </c>
      <c r="E83" s="5" t="s">
        <v>371</v>
      </c>
      <c r="F83" s="6" t="s">
        <v>153</v>
      </c>
      <c r="G83" s="5" t="s">
        <v>368</v>
      </c>
      <c r="H83" s="5" t="s">
        <v>407</v>
      </c>
      <c r="I83" s="6" t="s">
        <v>727</v>
      </c>
      <c r="J83" s="5" t="s">
        <v>368</v>
      </c>
      <c r="K83" s="6" t="s">
        <v>727</v>
      </c>
      <c r="L83" s="5" t="s">
        <v>388</v>
      </c>
      <c r="M83" s="6" t="s">
        <v>727</v>
      </c>
      <c r="N83" s="9" t="s">
        <v>736</v>
      </c>
    </row>
    <row r="84" spans="1:14" ht="18" customHeight="1" x14ac:dyDescent="0.3">
      <c r="A84" s="7" t="s">
        <v>373</v>
      </c>
      <c r="B84" s="4" t="s">
        <v>727</v>
      </c>
      <c r="C84" s="3" t="s">
        <v>377</v>
      </c>
      <c r="D84" s="4" t="s">
        <v>727</v>
      </c>
      <c r="E84" s="3" t="s">
        <v>407</v>
      </c>
      <c r="F84" s="4" t="s">
        <v>154</v>
      </c>
      <c r="G84" s="3" t="s">
        <v>368</v>
      </c>
      <c r="H84" s="3" t="s">
        <v>407</v>
      </c>
      <c r="I84" s="4" t="s">
        <v>727</v>
      </c>
      <c r="J84" s="3" t="s">
        <v>407</v>
      </c>
      <c r="K84" s="4" t="s">
        <v>735</v>
      </c>
      <c r="L84" s="3" t="s">
        <v>368</v>
      </c>
      <c r="M84" s="4" t="s">
        <v>735</v>
      </c>
      <c r="N84" s="8" t="s">
        <v>734</v>
      </c>
    </row>
    <row r="85" spans="1:14" ht="18" customHeight="1" x14ac:dyDescent="0.3">
      <c r="A85" s="7" t="s">
        <v>373</v>
      </c>
      <c r="B85" s="4" t="s">
        <v>727</v>
      </c>
      <c r="C85" s="3" t="s">
        <v>377</v>
      </c>
      <c r="D85" s="4" t="s">
        <v>727</v>
      </c>
      <c r="E85" s="3" t="s">
        <v>375</v>
      </c>
      <c r="F85" s="4" t="s">
        <v>155</v>
      </c>
      <c r="G85" s="3" t="s">
        <v>368</v>
      </c>
      <c r="H85" s="3" t="s">
        <v>407</v>
      </c>
      <c r="I85" s="4" t="s">
        <v>727</v>
      </c>
      <c r="J85" s="3" t="s">
        <v>375</v>
      </c>
      <c r="K85" s="4" t="s">
        <v>733</v>
      </c>
      <c r="L85" s="3" t="s">
        <v>368</v>
      </c>
      <c r="M85" s="4" t="s">
        <v>732</v>
      </c>
      <c r="N85" s="8" t="s">
        <v>731</v>
      </c>
    </row>
    <row r="86" spans="1:14" ht="18" customHeight="1" x14ac:dyDescent="0.3">
      <c r="A86" s="7" t="s">
        <v>373</v>
      </c>
      <c r="B86" s="4" t="s">
        <v>727</v>
      </c>
      <c r="C86" s="3" t="s">
        <v>377</v>
      </c>
      <c r="D86" s="4" t="s">
        <v>727</v>
      </c>
      <c r="E86" s="3" t="s">
        <v>377</v>
      </c>
      <c r="F86" s="4" t="s">
        <v>156</v>
      </c>
      <c r="G86" s="3" t="s">
        <v>368</v>
      </c>
      <c r="H86" s="3" t="s">
        <v>407</v>
      </c>
      <c r="I86" s="4" t="s">
        <v>727</v>
      </c>
      <c r="J86" s="3" t="s">
        <v>435</v>
      </c>
      <c r="K86" s="4" t="s">
        <v>156</v>
      </c>
      <c r="L86" s="3" t="s">
        <v>368</v>
      </c>
      <c r="M86" s="4" t="s">
        <v>156</v>
      </c>
      <c r="N86" s="8" t="s">
        <v>730</v>
      </c>
    </row>
    <row r="87" spans="1:14" ht="18" customHeight="1" x14ac:dyDescent="0.3">
      <c r="A87" s="7" t="s">
        <v>373</v>
      </c>
      <c r="B87" s="4" t="s">
        <v>727</v>
      </c>
      <c r="C87" s="3" t="s">
        <v>377</v>
      </c>
      <c r="D87" s="4" t="s">
        <v>727</v>
      </c>
      <c r="E87" s="3" t="s">
        <v>435</v>
      </c>
      <c r="F87" s="4" t="s">
        <v>157</v>
      </c>
      <c r="G87" s="3" t="s">
        <v>368</v>
      </c>
      <c r="H87" s="3" t="s">
        <v>407</v>
      </c>
      <c r="I87" s="4" t="s">
        <v>727</v>
      </c>
      <c r="J87" s="3" t="s">
        <v>432</v>
      </c>
      <c r="K87" s="4" t="s">
        <v>157</v>
      </c>
      <c r="L87" s="3" t="s">
        <v>368</v>
      </c>
      <c r="M87" s="4" t="s">
        <v>729</v>
      </c>
      <c r="N87" s="8" t="s">
        <v>728</v>
      </c>
    </row>
    <row r="88" spans="1:14" ht="18" customHeight="1" x14ac:dyDescent="0.3">
      <c r="A88" s="7" t="s">
        <v>373</v>
      </c>
      <c r="B88" s="4" t="s">
        <v>727</v>
      </c>
      <c r="C88" s="3" t="s">
        <v>377</v>
      </c>
      <c r="D88" s="4" t="s">
        <v>727</v>
      </c>
      <c r="E88" s="3" t="s">
        <v>432</v>
      </c>
      <c r="F88" s="4" t="s">
        <v>158</v>
      </c>
      <c r="G88" s="3" t="s">
        <v>368</v>
      </c>
      <c r="H88" s="3" t="s">
        <v>407</v>
      </c>
      <c r="I88" s="4" t="s">
        <v>727</v>
      </c>
      <c r="J88" s="3" t="s">
        <v>430</v>
      </c>
      <c r="K88" s="4" t="s">
        <v>158</v>
      </c>
      <c r="L88" s="3" t="s">
        <v>368</v>
      </c>
      <c r="M88" s="4" t="s">
        <v>158</v>
      </c>
      <c r="N88" s="8" t="s">
        <v>726</v>
      </c>
    </row>
    <row r="89" spans="1:14" ht="18" customHeight="1" x14ac:dyDescent="0.3">
      <c r="A89" s="7" t="s">
        <v>373</v>
      </c>
      <c r="B89" s="4" t="s">
        <v>699</v>
      </c>
      <c r="C89" s="3" t="s">
        <v>435</v>
      </c>
      <c r="D89" s="4" t="s">
        <v>699</v>
      </c>
      <c r="E89" s="3" t="s">
        <v>368</v>
      </c>
      <c r="F89" s="4" t="s">
        <v>159</v>
      </c>
      <c r="G89" s="3" t="s">
        <v>368</v>
      </c>
      <c r="H89" s="3" t="s">
        <v>375</v>
      </c>
      <c r="I89" s="4" t="s">
        <v>699</v>
      </c>
      <c r="J89" s="3" t="s">
        <v>391</v>
      </c>
      <c r="K89" s="4" t="s">
        <v>159</v>
      </c>
      <c r="L89" s="3" t="s">
        <v>368</v>
      </c>
      <c r="M89" s="4" t="s">
        <v>159</v>
      </c>
      <c r="N89" s="8" t="s">
        <v>725</v>
      </c>
    </row>
    <row r="90" spans="1:14" ht="18" customHeight="1" x14ac:dyDescent="0.3">
      <c r="A90" s="7" t="s">
        <v>373</v>
      </c>
      <c r="B90" s="4" t="s">
        <v>699</v>
      </c>
      <c r="C90" s="3" t="s">
        <v>435</v>
      </c>
      <c r="D90" s="4" t="s">
        <v>699</v>
      </c>
      <c r="E90" s="3" t="s">
        <v>391</v>
      </c>
      <c r="F90" s="4" t="s">
        <v>160</v>
      </c>
      <c r="G90" s="3" t="s">
        <v>368</v>
      </c>
      <c r="H90" s="3" t="s">
        <v>375</v>
      </c>
      <c r="I90" s="4" t="s">
        <v>699</v>
      </c>
      <c r="J90" s="3" t="s">
        <v>379</v>
      </c>
      <c r="K90" s="4" t="s">
        <v>160</v>
      </c>
      <c r="L90" s="3" t="s">
        <v>368</v>
      </c>
      <c r="M90" s="4" t="s">
        <v>724</v>
      </c>
      <c r="N90" s="8" t="s">
        <v>723</v>
      </c>
    </row>
    <row r="91" spans="1:14" ht="18" customHeight="1" x14ac:dyDescent="0.3">
      <c r="A91" s="7" t="s">
        <v>373</v>
      </c>
      <c r="B91" s="4" t="s">
        <v>699</v>
      </c>
      <c r="C91" s="3" t="s">
        <v>435</v>
      </c>
      <c r="D91" s="4" t="s">
        <v>699</v>
      </c>
      <c r="E91" s="3" t="s">
        <v>379</v>
      </c>
      <c r="F91" s="4" t="s">
        <v>161</v>
      </c>
      <c r="G91" s="3" t="s">
        <v>368</v>
      </c>
      <c r="H91" s="3" t="s">
        <v>375</v>
      </c>
      <c r="I91" s="4" t="s">
        <v>699</v>
      </c>
      <c r="J91" s="3" t="s">
        <v>381</v>
      </c>
      <c r="K91" s="4" t="s">
        <v>161</v>
      </c>
      <c r="L91" s="3" t="s">
        <v>368</v>
      </c>
      <c r="M91" s="4" t="s">
        <v>161</v>
      </c>
      <c r="N91" s="8" t="s">
        <v>722</v>
      </c>
    </row>
    <row r="92" spans="1:14" ht="18" customHeight="1" x14ac:dyDescent="0.3">
      <c r="A92" s="7" t="s">
        <v>373</v>
      </c>
      <c r="B92" s="4" t="s">
        <v>699</v>
      </c>
      <c r="C92" s="3" t="s">
        <v>435</v>
      </c>
      <c r="D92" s="4" t="s">
        <v>699</v>
      </c>
      <c r="E92" s="3" t="s">
        <v>386</v>
      </c>
      <c r="F92" s="4" t="s">
        <v>162</v>
      </c>
      <c r="G92" s="3" t="s">
        <v>368</v>
      </c>
      <c r="H92" s="3" t="s">
        <v>375</v>
      </c>
      <c r="I92" s="4" t="s">
        <v>699</v>
      </c>
      <c r="J92" s="3" t="s">
        <v>368</v>
      </c>
      <c r="K92" s="4" t="s">
        <v>699</v>
      </c>
      <c r="L92" s="3" t="s">
        <v>368</v>
      </c>
      <c r="M92" s="4" t="s">
        <v>699</v>
      </c>
      <c r="N92" s="8" t="s">
        <v>721</v>
      </c>
    </row>
    <row r="93" spans="1:14" ht="18" customHeight="1" x14ac:dyDescent="0.3">
      <c r="A93" s="7" t="s">
        <v>373</v>
      </c>
      <c r="B93" s="4" t="s">
        <v>699</v>
      </c>
      <c r="C93" s="3" t="s">
        <v>435</v>
      </c>
      <c r="D93" s="4" t="s">
        <v>699</v>
      </c>
      <c r="E93" s="3" t="s">
        <v>381</v>
      </c>
      <c r="F93" s="4" t="s">
        <v>163</v>
      </c>
      <c r="G93" s="3" t="s">
        <v>368</v>
      </c>
      <c r="H93" s="3" t="s">
        <v>375</v>
      </c>
      <c r="I93" s="4" t="s">
        <v>699</v>
      </c>
      <c r="J93" s="3" t="s">
        <v>371</v>
      </c>
      <c r="K93" s="4" t="s">
        <v>163</v>
      </c>
      <c r="L93" s="3" t="s">
        <v>368</v>
      </c>
      <c r="M93" s="4" t="s">
        <v>720</v>
      </c>
      <c r="N93" s="8" t="s">
        <v>719</v>
      </c>
    </row>
    <row r="94" spans="1:14" ht="18" customHeight="1" x14ac:dyDescent="0.3">
      <c r="A94" s="7" t="s">
        <v>373</v>
      </c>
      <c r="B94" s="4" t="s">
        <v>376</v>
      </c>
      <c r="C94" s="3" t="s">
        <v>432</v>
      </c>
      <c r="D94" s="4" t="s">
        <v>376</v>
      </c>
      <c r="E94" s="3" t="s">
        <v>368</v>
      </c>
      <c r="F94" s="4" t="s">
        <v>164</v>
      </c>
      <c r="G94" s="3" t="s">
        <v>368</v>
      </c>
      <c r="H94" s="3" t="s">
        <v>377</v>
      </c>
      <c r="I94" s="4" t="s">
        <v>376</v>
      </c>
      <c r="J94" s="3" t="s">
        <v>391</v>
      </c>
      <c r="K94" s="4" t="s">
        <v>164</v>
      </c>
      <c r="L94" s="3" t="s">
        <v>368</v>
      </c>
      <c r="M94" s="4" t="s">
        <v>164</v>
      </c>
      <c r="N94" s="8" t="s">
        <v>718</v>
      </c>
    </row>
    <row r="95" spans="1:14" ht="18" customHeight="1" x14ac:dyDescent="0.3">
      <c r="A95" s="7" t="s">
        <v>373</v>
      </c>
      <c r="B95" s="4" t="s">
        <v>376</v>
      </c>
      <c r="C95" s="3" t="s">
        <v>432</v>
      </c>
      <c r="D95" s="4" t="s">
        <v>376</v>
      </c>
      <c r="E95" s="3" t="s">
        <v>391</v>
      </c>
      <c r="F95" s="4" t="s">
        <v>165</v>
      </c>
      <c r="G95" s="3" t="s">
        <v>368</v>
      </c>
      <c r="H95" s="3" t="s">
        <v>377</v>
      </c>
      <c r="I95" s="4" t="s">
        <v>376</v>
      </c>
      <c r="J95" s="3" t="s">
        <v>379</v>
      </c>
      <c r="K95" s="4" t="s">
        <v>165</v>
      </c>
      <c r="L95" s="3" t="s">
        <v>368</v>
      </c>
      <c r="M95" s="4" t="s">
        <v>717</v>
      </c>
      <c r="N95" s="8" t="s">
        <v>716</v>
      </c>
    </row>
    <row r="96" spans="1:14" ht="18" customHeight="1" x14ac:dyDescent="0.3">
      <c r="A96" s="7" t="s">
        <v>373</v>
      </c>
      <c r="B96" s="4" t="s">
        <v>376</v>
      </c>
      <c r="C96" s="3" t="s">
        <v>432</v>
      </c>
      <c r="D96" s="4" t="s">
        <v>376</v>
      </c>
      <c r="E96" s="3" t="s">
        <v>379</v>
      </c>
      <c r="F96" s="4" t="s">
        <v>166</v>
      </c>
      <c r="G96" s="3" t="s">
        <v>368</v>
      </c>
      <c r="H96" s="3" t="s">
        <v>377</v>
      </c>
      <c r="I96" s="4" t="s">
        <v>376</v>
      </c>
      <c r="J96" s="3" t="s">
        <v>381</v>
      </c>
      <c r="K96" s="4" t="s">
        <v>166</v>
      </c>
      <c r="L96" s="3" t="s">
        <v>368</v>
      </c>
      <c r="M96" s="4" t="s">
        <v>141</v>
      </c>
      <c r="N96" s="8" t="s">
        <v>715</v>
      </c>
    </row>
    <row r="97" spans="1:14" ht="18" customHeight="1" x14ac:dyDescent="0.3">
      <c r="A97" s="7" t="s">
        <v>373</v>
      </c>
      <c r="B97" s="4" t="s">
        <v>376</v>
      </c>
      <c r="C97" s="3" t="s">
        <v>432</v>
      </c>
      <c r="D97" s="4" t="s">
        <v>376</v>
      </c>
      <c r="E97" s="3" t="s">
        <v>386</v>
      </c>
      <c r="F97" s="4" t="s">
        <v>169</v>
      </c>
      <c r="G97" s="3" t="s">
        <v>368</v>
      </c>
      <c r="H97" s="3" t="s">
        <v>377</v>
      </c>
      <c r="I97" s="4" t="s">
        <v>376</v>
      </c>
      <c r="J97" s="3" t="s">
        <v>368</v>
      </c>
      <c r="K97" s="4" t="s">
        <v>376</v>
      </c>
      <c r="L97" s="3" t="s">
        <v>390</v>
      </c>
      <c r="M97" s="4" t="s">
        <v>376</v>
      </c>
      <c r="N97" s="8" t="s">
        <v>714</v>
      </c>
    </row>
    <row r="98" spans="1:14" ht="18" customHeight="1" x14ac:dyDescent="0.3">
      <c r="A98" s="7" t="s">
        <v>373</v>
      </c>
      <c r="B98" s="4" t="s">
        <v>376</v>
      </c>
      <c r="C98" s="3" t="s">
        <v>432</v>
      </c>
      <c r="D98" s="4" t="s">
        <v>376</v>
      </c>
      <c r="E98" s="3" t="s">
        <v>381</v>
      </c>
      <c r="F98" s="4" t="s">
        <v>171</v>
      </c>
      <c r="G98" s="3" t="s">
        <v>368</v>
      </c>
      <c r="H98" s="3" t="s">
        <v>377</v>
      </c>
      <c r="I98" s="4" t="s">
        <v>376</v>
      </c>
      <c r="J98" s="3" t="s">
        <v>368</v>
      </c>
      <c r="K98" s="4" t="s">
        <v>376</v>
      </c>
      <c r="L98" s="3" t="s">
        <v>391</v>
      </c>
      <c r="M98" s="4" t="s">
        <v>142</v>
      </c>
      <c r="N98" s="8" t="s">
        <v>713</v>
      </c>
    </row>
    <row r="99" spans="1:14" ht="18" customHeight="1" x14ac:dyDescent="0.3">
      <c r="A99" s="7" t="s">
        <v>373</v>
      </c>
      <c r="B99" s="4" t="s">
        <v>376</v>
      </c>
      <c r="C99" s="3" t="s">
        <v>432</v>
      </c>
      <c r="D99" s="4" t="s">
        <v>376</v>
      </c>
      <c r="E99" s="3" t="s">
        <v>369</v>
      </c>
      <c r="F99" s="4" t="s">
        <v>176</v>
      </c>
      <c r="G99" s="3" t="s">
        <v>368</v>
      </c>
      <c r="H99" s="3" t="s">
        <v>377</v>
      </c>
      <c r="I99" s="4" t="s">
        <v>376</v>
      </c>
      <c r="J99" s="3" t="s">
        <v>377</v>
      </c>
      <c r="K99" s="4" t="s">
        <v>176</v>
      </c>
      <c r="L99" s="3" t="s">
        <v>368</v>
      </c>
      <c r="M99" s="4" t="s">
        <v>33</v>
      </c>
      <c r="N99" s="8" t="s">
        <v>712</v>
      </c>
    </row>
    <row r="100" spans="1:14" ht="18" customHeight="1" x14ac:dyDescent="0.3">
      <c r="A100" s="7" t="s">
        <v>373</v>
      </c>
      <c r="B100" s="4" t="s">
        <v>376</v>
      </c>
      <c r="C100" s="3" t="s">
        <v>432</v>
      </c>
      <c r="D100" s="4" t="s">
        <v>376</v>
      </c>
      <c r="E100" s="3" t="s">
        <v>371</v>
      </c>
      <c r="F100" s="4" t="s">
        <v>177</v>
      </c>
      <c r="G100" s="3" t="s">
        <v>368</v>
      </c>
      <c r="H100" s="3" t="s">
        <v>377</v>
      </c>
      <c r="I100" s="4" t="s">
        <v>376</v>
      </c>
      <c r="J100" s="3" t="s">
        <v>369</v>
      </c>
      <c r="K100" s="4" t="s">
        <v>177</v>
      </c>
      <c r="L100" s="3" t="s">
        <v>368</v>
      </c>
      <c r="M100" s="4" t="s">
        <v>711</v>
      </c>
      <c r="N100" s="8" t="s">
        <v>710</v>
      </c>
    </row>
    <row r="101" spans="1:14" ht="18" customHeight="1" x14ac:dyDescent="0.3">
      <c r="A101" s="7" t="s">
        <v>373</v>
      </c>
      <c r="B101" s="4" t="s">
        <v>376</v>
      </c>
      <c r="C101" s="3" t="s">
        <v>432</v>
      </c>
      <c r="D101" s="4" t="s">
        <v>376</v>
      </c>
      <c r="E101" s="3" t="s">
        <v>407</v>
      </c>
      <c r="F101" s="4" t="s">
        <v>175</v>
      </c>
      <c r="G101" s="3" t="s">
        <v>368</v>
      </c>
      <c r="H101" s="3" t="s">
        <v>377</v>
      </c>
      <c r="I101" s="4" t="s">
        <v>376</v>
      </c>
      <c r="J101" s="3" t="s">
        <v>371</v>
      </c>
      <c r="K101" s="4" t="s">
        <v>175</v>
      </c>
      <c r="L101" s="3" t="s">
        <v>368</v>
      </c>
      <c r="M101" s="4" t="s">
        <v>709</v>
      </c>
      <c r="N101" s="8" t="s">
        <v>708</v>
      </c>
    </row>
    <row r="102" spans="1:14" ht="18" customHeight="1" x14ac:dyDescent="0.3">
      <c r="A102" s="7" t="s">
        <v>373</v>
      </c>
      <c r="B102" s="4" t="s">
        <v>376</v>
      </c>
      <c r="C102" s="3" t="s">
        <v>432</v>
      </c>
      <c r="D102" s="4" t="s">
        <v>376</v>
      </c>
      <c r="E102" s="3" t="s">
        <v>375</v>
      </c>
      <c r="F102" s="4" t="s">
        <v>179</v>
      </c>
      <c r="G102" s="3" t="s">
        <v>368</v>
      </c>
      <c r="H102" s="3" t="s">
        <v>377</v>
      </c>
      <c r="I102" s="4" t="s">
        <v>376</v>
      </c>
      <c r="J102" s="3" t="s">
        <v>407</v>
      </c>
      <c r="K102" s="4" t="s">
        <v>179</v>
      </c>
      <c r="L102" s="3" t="s">
        <v>368</v>
      </c>
      <c r="M102" s="4" t="s">
        <v>707</v>
      </c>
      <c r="N102" s="8" t="s">
        <v>706</v>
      </c>
    </row>
    <row r="103" spans="1:14" ht="18" customHeight="1" x14ac:dyDescent="0.3">
      <c r="A103" s="7" t="s">
        <v>373</v>
      </c>
      <c r="B103" s="4" t="s">
        <v>376</v>
      </c>
      <c r="C103" s="3" t="s">
        <v>432</v>
      </c>
      <c r="D103" s="4" t="s">
        <v>376</v>
      </c>
      <c r="E103" s="3" t="s">
        <v>377</v>
      </c>
      <c r="F103" s="4" t="s">
        <v>180</v>
      </c>
      <c r="G103" s="3" t="s">
        <v>368</v>
      </c>
      <c r="H103" s="3" t="s">
        <v>377</v>
      </c>
      <c r="I103" s="4" t="s">
        <v>376</v>
      </c>
      <c r="J103" s="3" t="s">
        <v>435</v>
      </c>
      <c r="K103" s="4" t="s">
        <v>180</v>
      </c>
      <c r="L103" s="3" t="s">
        <v>368</v>
      </c>
      <c r="M103" s="4" t="s">
        <v>705</v>
      </c>
      <c r="N103" s="8" t="s">
        <v>704</v>
      </c>
    </row>
    <row r="104" spans="1:14" ht="18" customHeight="1" x14ac:dyDescent="0.3">
      <c r="A104" s="7" t="s">
        <v>373</v>
      </c>
      <c r="B104" s="4" t="s">
        <v>687</v>
      </c>
      <c r="C104" s="5" t="s">
        <v>430</v>
      </c>
      <c r="D104" s="6" t="s">
        <v>687</v>
      </c>
      <c r="E104" s="5" t="s">
        <v>368</v>
      </c>
      <c r="F104" s="6" t="s">
        <v>182</v>
      </c>
      <c r="G104" s="5" t="s">
        <v>368</v>
      </c>
      <c r="H104" s="5" t="s">
        <v>435</v>
      </c>
      <c r="I104" s="6" t="s">
        <v>687</v>
      </c>
      <c r="J104" s="5" t="s">
        <v>391</v>
      </c>
      <c r="K104" s="6" t="s">
        <v>702</v>
      </c>
      <c r="L104" s="5" t="s">
        <v>390</v>
      </c>
      <c r="M104" s="6" t="s">
        <v>701</v>
      </c>
      <c r="N104" s="9" t="s">
        <v>703</v>
      </c>
    </row>
    <row r="105" spans="1:14" ht="18" customHeight="1" x14ac:dyDescent="0.3">
      <c r="A105" s="7" t="s">
        <v>373</v>
      </c>
      <c r="B105" s="4" t="s">
        <v>687</v>
      </c>
      <c r="C105" s="5" t="s">
        <v>430</v>
      </c>
      <c r="D105" s="6" t="s">
        <v>687</v>
      </c>
      <c r="E105" s="5" t="s">
        <v>391</v>
      </c>
      <c r="F105" s="6" t="s">
        <v>183</v>
      </c>
      <c r="G105" s="5" t="s">
        <v>368</v>
      </c>
      <c r="H105" s="5" t="s">
        <v>435</v>
      </c>
      <c r="I105" s="6" t="s">
        <v>687</v>
      </c>
      <c r="J105" s="5" t="s">
        <v>391</v>
      </c>
      <c r="K105" s="6" t="s">
        <v>702</v>
      </c>
      <c r="L105" s="5" t="s">
        <v>388</v>
      </c>
      <c r="M105" s="6" t="s">
        <v>701</v>
      </c>
      <c r="N105" s="9" t="s">
        <v>700</v>
      </c>
    </row>
    <row r="106" spans="1:14" ht="18" customHeight="1" x14ac:dyDescent="0.3">
      <c r="A106" s="7" t="s">
        <v>373</v>
      </c>
      <c r="B106" s="4" t="s">
        <v>687</v>
      </c>
      <c r="C106" s="3" t="s">
        <v>430</v>
      </c>
      <c r="D106" s="4" t="s">
        <v>687</v>
      </c>
      <c r="E106" s="3" t="s">
        <v>379</v>
      </c>
      <c r="F106" s="4" t="s">
        <v>184</v>
      </c>
      <c r="G106" s="3" t="s">
        <v>368</v>
      </c>
      <c r="H106" s="3" t="s">
        <v>375</v>
      </c>
      <c r="I106" s="4" t="s">
        <v>699</v>
      </c>
      <c r="J106" s="3" t="s">
        <v>369</v>
      </c>
      <c r="K106" s="4" t="s">
        <v>184</v>
      </c>
      <c r="L106" s="3" t="s">
        <v>368</v>
      </c>
      <c r="M106" s="4" t="s">
        <v>184</v>
      </c>
      <c r="N106" s="8" t="s">
        <v>698</v>
      </c>
    </row>
    <row r="107" spans="1:14" ht="18" customHeight="1" x14ac:dyDescent="0.3">
      <c r="A107" s="7" t="s">
        <v>373</v>
      </c>
      <c r="B107" s="4" t="s">
        <v>687</v>
      </c>
      <c r="C107" s="5" t="s">
        <v>430</v>
      </c>
      <c r="D107" s="6" t="s">
        <v>687</v>
      </c>
      <c r="E107" s="5" t="s">
        <v>386</v>
      </c>
      <c r="F107" s="6" t="s">
        <v>185</v>
      </c>
      <c r="G107" s="5" t="s">
        <v>368</v>
      </c>
      <c r="H107" s="5" t="s">
        <v>435</v>
      </c>
      <c r="I107" s="6" t="s">
        <v>687</v>
      </c>
      <c r="J107" s="5" t="s">
        <v>368</v>
      </c>
      <c r="K107" s="6" t="s">
        <v>687</v>
      </c>
      <c r="L107" s="5" t="s">
        <v>390</v>
      </c>
      <c r="M107" s="6" t="s">
        <v>687</v>
      </c>
      <c r="N107" s="9" t="s">
        <v>697</v>
      </c>
    </row>
    <row r="108" spans="1:14" ht="18" customHeight="1" x14ac:dyDescent="0.3">
      <c r="A108" s="7" t="s">
        <v>373</v>
      </c>
      <c r="B108" s="4" t="s">
        <v>687</v>
      </c>
      <c r="C108" s="5" t="s">
        <v>430</v>
      </c>
      <c r="D108" s="6" t="s">
        <v>687</v>
      </c>
      <c r="E108" s="5" t="s">
        <v>381</v>
      </c>
      <c r="F108" s="6" t="s">
        <v>186</v>
      </c>
      <c r="G108" s="5" t="s">
        <v>368</v>
      </c>
      <c r="H108" s="5" t="s">
        <v>435</v>
      </c>
      <c r="I108" s="6" t="s">
        <v>687</v>
      </c>
      <c r="J108" s="5" t="s">
        <v>368</v>
      </c>
      <c r="K108" s="6" t="s">
        <v>687</v>
      </c>
      <c r="L108" s="5" t="s">
        <v>388</v>
      </c>
      <c r="M108" s="6" t="s">
        <v>687</v>
      </c>
      <c r="N108" s="9" t="s">
        <v>696</v>
      </c>
    </row>
    <row r="109" spans="1:14" ht="18" customHeight="1" x14ac:dyDescent="0.3">
      <c r="A109" s="7" t="s">
        <v>373</v>
      </c>
      <c r="B109" s="4" t="s">
        <v>687</v>
      </c>
      <c r="C109" s="3" t="s">
        <v>430</v>
      </c>
      <c r="D109" s="4" t="s">
        <v>687</v>
      </c>
      <c r="E109" s="3" t="s">
        <v>369</v>
      </c>
      <c r="F109" s="4" t="s">
        <v>167</v>
      </c>
      <c r="G109" s="3" t="s">
        <v>368</v>
      </c>
      <c r="H109" s="3" t="s">
        <v>381</v>
      </c>
      <c r="I109" s="4" t="s">
        <v>691</v>
      </c>
      <c r="J109" s="3" t="s">
        <v>369</v>
      </c>
      <c r="K109" s="4" t="s">
        <v>167</v>
      </c>
      <c r="L109" s="3" t="s">
        <v>368</v>
      </c>
      <c r="M109" s="4" t="s">
        <v>695</v>
      </c>
      <c r="N109" s="8" t="s">
        <v>694</v>
      </c>
    </row>
    <row r="110" spans="1:14" ht="18" customHeight="1" x14ac:dyDescent="0.3">
      <c r="A110" s="7" t="s">
        <v>373</v>
      </c>
      <c r="B110" s="4" t="s">
        <v>687</v>
      </c>
      <c r="C110" s="3" t="s">
        <v>430</v>
      </c>
      <c r="D110" s="4" t="s">
        <v>687</v>
      </c>
      <c r="E110" s="3" t="s">
        <v>371</v>
      </c>
      <c r="F110" s="4" t="s">
        <v>188</v>
      </c>
      <c r="G110" s="3" t="s">
        <v>368</v>
      </c>
      <c r="H110" s="3" t="s">
        <v>435</v>
      </c>
      <c r="I110" s="4" t="s">
        <v>687</v>
      </c>
      <c r="J110" s="3" t="s">
        <v>379</v>
      </c>
      <c r="K110" s="4" t="s">
        <v>693</v>
      </c>
      <c r="L110" s="3" t="s">
        <v>368</v>
      </c>
      <c r="M110" s="4" t="s">
        <v>693</v>
      </c>
      <c r="N110" s="8" t="s">
        <v>692</v>
      </c>
    </row>
    <row r="111" spans="1:14" ht="18" customHeight="1" x14ac:dyDescent="0.3">
      <c r="A111" s="7" t="s">
        <v>373</v>
      </c>
      <c r="B111" s="4" t="s">
        <v>687</v>
      </c>
      <c r="C111" s="3" t="s">
        <v>430</v>
      </c>
      <c r="D111" s="4" t="s">
        <v>687</v>
      </c>
      <c r="E111" s="3" t="s">
        <v>407</v>
      </c>
      <c r="F111" s="4" t="s">
        <v>189</v>
      </c>
      <c r="G111" s="3" t="s">
        <v>368</v>
      </c>
      <c r="H111" s="3" t="s">
        <v>381</v>
      </c>
      <c r="I111" s="4" t="s">
        <v>691</v>
      </c>
      <c r="J111" s="3" t="s">
        <v>371</v>
      </c>
      <c r="K111" s="4" t="s">
        <v>690</v>
      </c>
      <c r="L111" s="3" t="s">
        <v>368</v>
      </c>
      <c r="M111" s="4" t="s">
        <v>689</v>
      </c>
      <c r="N111" s="8" t="s">
        <v>688</v>
      </c>
    </row>
    <row r="112" spans="1:14" ht="18" customHeight="1" x14ac:dyDescent="0.3">
      <c r="A112" s="7" t="s">
        <v>373</v>
      </c>
      <c r="B112" s="4" t="s">
        <v>687</v>
      </c>
      <c r="C112" s="3" t="s">
        <v>430</v>
      </c>
      <c r="D112" s="4" t="s">
        <v>687</v>
      </c>
      <c r="E112" s="3" t="s">
        <v>375</v>
      </c>
      <c r="F112" s="4" t="s">
        <v>25</v>
      </c>
      <c r="G112" s="3" t="s">
        <v>368</v>
      </c>
      <c r="H112" s="3" t="s">
        <v>435</v>
      </c>
      <c r="I112" s="4" t="s">
        <v>687</v>
      </c>
      <c r="J112" s="3" t="s">
        <v>381</v>
      </c>
      <c r="K112" s="4" t="s">
        <v>25</v>
      </c>
      <c r="L112" s="3" t="s">
        <v>368</v>
      </c>
      <c r="M112" s="4" t="s">
        <v>25</v>
      </c>
      <c r="N112" s="8" t="s">
        <v>686</v>
      </c>
    </row>
    <row r="113" spans="1:14" ht="18" customHeight="1" x14ac:dyDescent="0.3">
      <c r="A113" s="7" t="s">
        <v>373</v>
      </c>
      <c r="B113" s="4" t="s">
        <v>673</v>
      </c>
      <c r="C113" s="3" t="s">
        <v>554</v>
      </c>
      <c r="D113" s="4" t="s">
        <v>673</v>
      </c>
      <c r="E113" s="3" t="s">
        <v>368</v>
      </c>
      <c r="F113" s="4" t="s">
        <v>191</v>
      </c>
      <c r="G113" s="3" t="s">
        <v>368</v>
      </c>
      <c r="H113" s="3" t="s">
        <v>432</v>
      </c>
      <c r="I113" s="4" t="s">
        <v>673</v>
      </c>
      <c r="J113" s="3" t="s">
        <v>379</v>
      </c>
      <c r="K113" s="4" t="s">
        <v>191</v>
      </c>
      <c r="L113" s="3" t="s">
        <v>368</v>
      </c>
      <c r="M113" s="4" t="s">
        <v>191</v>
      </c>
      <c r="N113" s="8" t="s">
        <v>685</v>
      </c>
    </row>
    <row r="114" spans="1:14" ht="18" customHeight="1" x14ac:dyDescent="0.3">
      <c r="A114" s="7" t="s">
        <v>373</v>
      </c>
      <c r="B114" s="4" t="s">
        <v>673</v>
      </c>
      <c r="C114" s="3" t="s">
        <v>554</v>
      </c>
      <c r="D114" s="4" t="s">
        <v>673</v>
      </c>
      <c r="E114" s="3" t="s">
        <v>391</v>
      </c>
      <c r="F114" s="4" t="s">
        <v>192</v>
      </c>
      <c r="G114" s="3" t="s">
        <v>368</v>
      </c>
      <c r="H114" s="3" t="s">
        <v>432</v>
      </c>
      <c r="I114" s="4" t="s">
        <v>673</v>
      </c>
      <c r="J114" s="3" t="s">
        <v>375</v>
      </c>
      <c r="K114" s="4" t="s">
        <v>192</v>
      </c>
      <c r="L114" s="3" t="s">
        <v>368</v>
      </c>
      <c r="M114" s="4" t="s">
        <v>192</v>
      </c>
      <c r="N114" s="8" t="s">
        <v>684</v>
      </c>
    </row>
    <row r="115" spans="1:14" ht="18" customHeight="1" x14ac:dyDescent="0.3">
      <c r="A115" s="7" t="s">
        <v>373</v>
      </c>
      <c r="B115" s="4" t="s">
        <v>673</v>
      </c>
      <c r="C115" s="3" t="s">
        <v>554</v>
      </c>
      <c r="D115" s="4" t="s">
        <v>673</v>
      </c>
      <c r="E115" s="3" t="s">
        <v>379</v>
      </c>
      <c r="F115" s="4" t="s">
        <v>65</v>
      </c>
      <c r="G115" s="3" t="s">
        <v>368</v>
      </c>
      <c r="H115" s="3" t="s">
        <v>432</v>
      </c>
      <c r="I115" s="4" t="s">
        <v>673</v>
      </c>
      <c r="J115" s="3" t="s">
        <v>391</v>
      </c>
      <c r="K115" s="4" t="s">
        <v>65</v>
      </c>
      <c r="L115" s="3" t="s">
        <v>368</v>
      </c>
      <c r="M115" s="4" t="s">
        <v>65</v>
      </c>
      <c r="N115" s="8" t="s">
        <v>683</v>
      </c>
    </row>
    <row r="116" spans="1:14" ht="18" customHeight="1" x14ac:dyDescent="0.3">
      <c r="A116" s="7" t="s">
        <v>373</v>
      </c>
      <c r="B116" s="4" t="s">
        <v>673</v>
      </c>
      <c r="C116" s="5" t="s">
        <v>554</v>
      </c>
      <c r="D116" s="6" t="s">
        <v>673</v>
      </c>
      <c r="E116" s="5" t="s">
        <v>386</v>
      </c>
      <c r="F116" s="6" t="s">
        <v>193</v>
      </c>
      <c r="G116" s="5" t="s">
        <v>368</v>
      </c>
      <c r="H116" s="5" t="s">
        <v>432</v>
      </c>
      <c r="I116" s="6" t="s">
        <v>673</v>
      </c>
      <c r="J116" s="5" t="s">
        <v>368</v>
      </c>
      <c r="K116" s="6" t="s">
        <v>680</v>
      </c>
      <c r="L116" s="5" t="s">
        <v>390</v>
      </c>
      <c r="M116" s="6" t="s">
        <v>680</v>
      </c>
      <c r="N116" s="9" t="s">
        <v>682</v>
      </c>
    </row>
    <row r="117" spans="1:14" ht="18" customHeight="1" x14ac:dyDescent="0.3">
      <c r="A117" s="7" t="s">
        <v>373</v>
      </c>
      <c r="B117" s="4" t="s">
        <v>673</v>
      </c>
      <c r="C117" s="5" t="s">
        <v>554</v>
      </c>
      <c r="D117" s="6" t="s">
        <v>673</v>
      </c>
      <c r="E117" s="5" t="s">
        <v>381</v>
      </c>
      <c r="F117" s="6" t="s">
        <v>194</v>
      </c>
      <c r="G117" s="5" t="s">
        <v>368</v>
      </c>
      <c r="H117" s="5" t="s">
        <v>432</v>
      </c>
      <c r="I117" s="6" t="s">
        <v>673</v>
      </c>
      <c r="J117" s="5" t="s">
        <v>368</v>
      </c>
      <c r="K117" s="6" t="s">
        <v>680</v>
      </c>
      <c r="L117" s="5" t="s">
        <v>388</v>
      </c>
      <c r="M117" s="6" t="s">
        <v>680</v>
      </c>
      <c r="N117" s="9" t="s">
        <v>681</v>
      </c>
    </row>
    <row r="118" spans="1:14" ht="18" customHeight="1" x14ac:dyDescent="0.3">
      <c r="A118" s="7" t="s">
        <v>373</v>
      </c>
      <c r="B118" s="4" t="s">
        <v>673</v>
      </c>
      <c r="C118" s="5" t="s">
        <v>554</v>
      </c>
      <c r="D118" s="6" t="s">
        <v>673</v>
      </c>
      <c r="E118" s="5" t="s">
        <v>369</v>
      </c>
      <c r="F118" s="6" t="s">
        <v>195</v>
      </c>
      <c r="G118" s="5" t="s">
        <v>368</v>
      </c>
      <c r="H118" s="5" t="s">
        <v>432</v>
      </c>
      <c r="I118" s="6" t="s">
        <v>673</v>
      </c>
      <c r="J118" s="5" t="s">
        <v>368</v>
      </c>
      <c r="K118" s="6" t="s">
        <v>680</v>
      </c>
      <c r="L118" s="5" t="s">
        <v>384</v>
      </c>
      <c r="M118" s="6" t="s">
        <v>680</v>
      </c>
      <c r="N118" s="9" t="s">
        <v>679</v>
      </c>
    </row>
    <row r="119" spans="1:14" ht="18" customHeight="1" x14ac:dyDescent="0.3">
      <c r="A119" s="7" t="s">
        <v>373</v>
      </c>
      <c r="B119" s="4" t="s">
        <v>673</v>
      </c>
      <c r="C119" s="3" t="s">
        <v>554</v>
      </c>
      <c r="D119" s="4" t="s">
        <v>673</v>
      </c>
      <c r="E119" s="3" t="s">
        <v>371</v>
      </c>
      <c r="F119" s="4" t="s">
        <v>196</v>
      </c>
      <c r="G119" s="3" t="s">
        <v>368</v>
      </c>
      <c r="H119" s="3" t="s">
        <v>432</v>
      </c>
      <c r="I119" s="4" t="s">
        <v>673</v>
      </c>
      <c r="J119" s="3" t="s">
        <v>386</v>
      </c>
      <c r="K119" s="4" t="s">
        <v>196</v>
      </c>
      <c r="L119" s="3" t="s">
        <v>368</v>
      </c>
      <c r="M119" s="4" t="s">
        <v>196</v>
      </c>
      <c r="N119" s="8" t="s">
        <v>678</v>
      </c>
    </row>
    <row r="120" spans="1:14" ht="18" customHeight="1" x14ac:dyDescent="0.3">
      <c r="A120" s="7" t="s">
        <v>373</v>
      </c>
      <c r="B120" s="4" t="s">
        <v>673</v>
      </c>
      <c r="C120" s="5" t="s">
        <v>554</v>
      </c>
      <c r="D120" s="6" t="s">
        <v>673</v>
      </c>
      <c r="E120" s="5" t="s">
        <v>407</v>
      </c>
      <c r="F120" s="6" t="s">
        <v>197</v>
      </c>
      <c r="G120" s="5" t="s">
        <v>368</v>
      </c>
      <c r="H120" s="5" t="s">
        <v>432</v>
      </c>
      <c r="I120" s="6" t="s">
        <v>673</v>
      </c>
      <c r="J120" s="5" t="s">
        <v>369</v>
      </c>
      <c r="K120" s="6" t="s">
        <v>676</v>
      </c>
      <c r="L120" s="5" t="s">
        <v>390</v>
      </c>
      <c r="M120" s="6" t="s">
        <v>676</v>
      </c>
      <c r="N120" s="9" t="s">
        <v>677</v>
      </c>
    </row>
    <row r="121" spans="1:14" ht="18" customHeight="1" x14ac:dyDescent="0.3">
      <c r="A121" s="7" t="s">
        <v>373</v>
      </c>
      <c r="B121" s="4" t="s">
        <v>673</v>
      </c>
      <c r="C121" s="5" t="s">
        <v>554</v>
      </c>
      <c r="D121" s="6" t="s">
        <v>673</v>
      </c>
      <c r="E121" s="5" t="s">
        <v>375</v>
      </c>
      <c r="F121" s="6" t="s">
        <v>199</v>
      </c>
      <c r="G121" s="5" t="s">
        <v>368</v>
      </c>
      <c r="H121" s="5" t="s">
        <v>432</v>
      </c>
      <c r="I121" s="6" t="s">
        <v>673</v>
      </c>
      <c r="J121" s="5" t="s">
        <v>369</v>
      </c>
      <c r="K121" s="6" t="s">
        <v>676</v>
      </c>
      <c r="L121" s="5" t="s">
        <v>388</v>
      </c>
      <c r="M121" s="6" t="s">
        <v>676</v>
      </c>
      <c r="N121" s="9" t="s">
        <v>675</v>
      </c>
    </row>
    <row r="122" spans="1:14" ht="18" customHeight="1" x14ac:dyDescent="0.3">
      <c r="A122" s="7" t="s">
        <v>373</v>
      </c>
      <c r="B122" s="4" t="s">
        <v>673</v>
      </c>
      <c r="C122" s="3" t="s">
        <v>554</v>
      </c>
      <c r="D122" s="4" t="s">
        <v>673</v>
      </c>
      <c r="E122" s="3" t="s">
        <v>377</v>
      </c>
      <c r="F122" s="4" t="s">
        <v>200</v>
      </c>
      <c r="G122" s="3" t="s">
        <v>368</v>
      </c>
      <c r="H122" s="3" t="s">
        <v>432</v>
      </c>
      <c r="I122" s="4" t="s">
        <v>673</v>
      </c>
      <c r="J122" s="3" t="s">
        <v>371</v>
      </c>
      <c r="K122" s="4" t="s">
        <v>200</v>
      </c>
      <c r="L122" s="3" t="s">
        <v>368</v>
      </c>
      <c r="M122" s="4" t="s">
        <v>200</v>
      </c>
      <c r="N122" s="8" t="s">
        <v>674</v>
      </c>
    </row>
    <row r="123" spans="1:14" ht="18" customHeight="1" x14ac:dyDescent="0.3">
      <c r="A123" s="7" t="s">
        <v>373</v>
      </c>
      <c r="B123" s="4" t="s">
        <v>673</v>
      </c>
      <c r="C123" s="3" t="s">
        <v>554</v>
      </c>
      <c r="D123" s="4" t="s">
        <v>673</v>
      </c>
      <c r="E123" s="3" t="s">
        <v>435</v>
      </c>
      <c r="F123" s="4" t="s">
        <v>201</v>
      </c>
      <c r="G123" s="3" t="s">
        <v>368</v>
      </c>
      <c r="H123" s="3" t="s">
        <v>432</v>
      </c>
      <c r="I123" s="4" t="s">
        <v>673</v>
      </c>
      <c r="J123" s="3" t="s">
        <v>407</v>
      </c>
      <c r="K123" s="4" t="s">
        <v>672</v>
      </c>
      <c r="L123" s="3" t="s">
        <v>368</v>
      </c>
      <c r="M123" s="4" t="s">
        <v>671</v>
      </c>
      <c r="N123" s="8" t="s">
        <v>670</v>
      </c>
    </row>
    <row r="124" spans="1:14" ht="18" customHeight="1" x14ac:dyDescent="0.3">
      <c r="A124" s="7" t="s">
        <v>373</v>
      </c>
      <c r="B124" s="4" t="s">
        <v>646</v>
      </c>
      <c r="C124" s="3" t="s">
        <v>515</v>
      </c>
      <c r="D124" s="4" t="s">
        <v>660</v>
      </c>
      <c r="E124" s="3" t="s">
        <v>368</v>
      </c>
      <c r="F124" s="4" t="s">
        <v>202</v>
      </c>
      <c r="G124" s="3" t="s">
        <v>368</v>
      </c>
      <c r="H124" s="3" t="s">
        <v>430</v>
      </c>
      <c r="I124" s="4" t="s">
        <v>646</v>
      </c>
      <c r="J124" s="3" t="s">
        <v>391</v>
      </c>
      <c r="K124" s="4" t="s">
        <v>202</v>
      </c>
      <c r="L124" s="3" t="s">
        <v>368</v>
      </c>
      <c r="M124" s="4" t="s">
        <v>202</v>
      </c>
      <c r="N124" s="8" t="s">
        <v>669</v>
      </c>
    </row>
    <row r="125" spans="1:14" ht="18" customHeight="1" x14ac:dyDescent="0.3">
      <c r="A125" s="7" t="s">
        <v>373</v>
      </c>
      <c r="B125" s="4" t="s">
        <v>646</v>
      </c>
      <c r="C125" s="3" t="s">
        <v>515</v>
      </c>
      <c r="D125" s="4" t="s">
        <v>660</v>
      </c>
      <c r="E125" s="3" t="s">
        <v>391</v>
      </c>
      <c r="F125" s="4" t="s">
        <v>203</v>
      </c>
      <c r="G125" s="3" t="s">
        <v>368</v>
      </c>
      <c r="H125" s="3" t="s">
        <v>430</v>
      </c>
      <c r="I125" s="4" t="s">
        <v>646</v>
      </c>
      <c r="J125" s="3" t="s">
        <v>386</v>
      </c>
      <c r="K125" s="4" t="s">
        <v>203</v>
      </c>
      <c r="L125" s="3" t="s">
        <v>368</v>
      </c>
      <c r="M125" s="4" t="s">
        <v>203</v>
      </c>
      <c r="N125" s="8" t="s">
        <v>668</v>
      </c>
    </row>
    <row r="126" spans="1:14" ht="18" customHeight="1" x14ac:dyDescent="0.3">
      <c r="A126" s="7" t="s">
        <v>373</v>
      </c>
      <c r="B126" s="4" t="s">
        <v>646</v>
      </c>
      <c r="C126" s="3" t="s">
        <v>515</v>
      </c>
      <c r="D126" s="4" t="s">
        <v>660</v>
      </c>
      <c r="E126" s="3" t="s">
        <v>379</v>
      </c>
      <c r="F126" s="4" t="s">
        <v>204</v>
      </c>
      <c r="G126" s="3" t="s">
        <v>368</v>
      </c>
      <c r="H126" s="3" t="s">
        <v>430</v>
      </c>
      <c r="I126" s="4" t="s">
        <v>646</v>
      </c>
      <c r="J126" s="3" t="s">
        <v>435</v>
      </c>
      <c r="K126" s="4" t="s">
        <v>204</v>
      </c>
      <c r="L126" s="3" t="s">
        <v>368</v>
      </c>
      <c r="M126" s="4" t="s">
        <v>667</v>
      </c>
      <c r="N126" s="8" t="s">
        <v>666</v>
      </c>
    </row>
    <row r="127" spans="1:14" ht="18" customHeight="1" x14ac:dyDescent="0.3">
      <c r="A127" s="7" t="s">
        <v>373</v>
      </c>
      <c r="B127" s="4" t="s">
        <v>646</v>
      </c>
      <c r="C127" s="3" t="s">
        <v>515</v>
      </c>
      <c r="D127" s="4" t="s">
        <v>660</v>
      </c>
      <c r="E127" s="3" t="s">
        <v>386</v>
      </c>
      <c r="F127" s="4" t="s">
        <v>207</v>
      </c>
      <c r="G127" s="3" t="s">
        <v>368</v>
      </c>
      <c r="H127" s="3" t="s">
        <v>430</v>
      </c>
      <c r="I127" s="4" t="s">
        <v>646</v>
      </c>
      <c r="J127" s="3" t="s">
        <v>371</v>
      </c>
      <c r="K127" s="4" t="s">
        <v>207</v>
      </c>
      <c r="L127" s="3" t="s">
        <v>368</v>
      </c>
      <c r="M127" s="4" t="s">
        <v>665</v>
      </c>
      <c r="N127" s="8" t="s">
        <v>664</v>
      </c>
    </row>
    <row r="128" spans="1:14" ht="18" customHeight="1" x14ac:dyDescent="0.3">
      <c r="A128" s="7" t="s">
        <v>373</v>
      </c>
      <c r="B128" s="4" t="s">
        <v>646</v>
      </c>
      <c r="C128" s="3" t="s">
        <v>515</v>
      </c>
      <c r="D128" s="4" t="s">
        <v>660</v>
      </c>
      <c r="E128" s="3" t="s">
        <v>381</v>
      </c>
      <c r="F128" s="4" t="s">
        <v>209</v>
      </c>
      <c r="G128" s="3" t="s">
        <v>368</v>
      </c>
      <c r="H128" s="3" t="s">
        <v>430</v>
      </c>
      <c r="I128" s="4" t="s">
        <v>646</v>
      </c>
      <c r="J128" s="3" t="s">
        <v>368</v>
      </c>
      <c r="K128" s="4" t="s">
        <v>26</v>
      </c>
      <c r="L128" s="3" t="s">
        <v>381</v>
      </c>
      <c r="M128" s="4" t="s">
        <v>663</v>
      </c>
      <c r="N128" s="8" t="s">
        <v>662</v>
      </c>
    </row>
    <row r="129" spans="1:14" ht="18" customHeight="1" x14ac:dyDescent="0.3">
      <c r="A129" s="7" t="s">
        <v>373</v>
      </c>
      <c r="B129" s="4" t="s">
        <v>646</v>
      </c>
      <c r="C129" s="5" t="s">
        <v>515</v>
      </c>
      <c r="D129" s="6" t="s">
        <v>660</v>
      </c>
      <c r="E129" s="5" t="s">
        <v>369</v>
      </c>
      <c r="F129" s="6" t="s">
        <v>210</v>
      </c>
      <c r="G129" s="5" t="s">
        <v>368</v>
      </c>
      <c r="H129" s="5" t="s">
        <v>430</v>
      </c>
      <c r="I129" s="6" t="s">
        <v>646</v>
      </c>
      <c r="J129" s="5" t="s">
        <v>368</v>
      </c>
      <c r="K129" s="6" t="s">
        <v>26</v>
      </c>
      <c r="L129" s="5" t="s">
        <v>390</v>
      </c>
      <c r="M129" s="6" t="s">
        <v>26</v>
      </c>
      <c r="N129" s="9" t="s">
        <v>661</v>
      </c>
    </row>
    <row r="130" spans="1:14" ht="18" customHeight="1" x14ac:dyDescent="0.3">
      <c r="A130" s="7" t="s">
        <v>373</v>
      </c>
      <c r="B130" s="4" t="s">
        <v>646</v>
      </c>
      <c r="C130" s="3" t="s">
        <v>515</v>
      </c>
      <c r="D130" s="4" t="s">
        <v>660</v>
      </c>
      <c r="E130" s="3" t="s">
        <v>371</v>
      </c>
      <c r="F130" s="4" t="s">
        <v>212</v>
      </c>
      <c r="G130" s="3" t="s">
        <v>368</v>
      </c>
      <c r="H130" s="3" t="s">
        <v>430</v>
      </c>
      <c r="I130" s="4" t="s">
        <v>646</v>
      </c>
      <c r="J130" s="3" t="s">
        <v>432</v>
      </c>
      <c r="K130" s="4" t="s">
        <v>212</v>
      </c>
      <c r="L130" s="3" t="s">
        <v>368</v>
      </c>
      <c r="M130" s="4" t="s">
        <v>212</v>
      </c>
      <c r="N130" s="8" t="s">
        <v>659</v>
      </c>
    </row>
    <row r="131" spans="1:14" ht="18" customHeight="1" x14ac:dyDescent="0.3">
      <c r="A131" s="7" t="s">
        <v>373</v>
      </c>
      <c r="B131" s="4" t="s">
        <v>646</v>
      </c>
      <c r="C131" s="3" t="s">
        <v>370</v>
      </c>
      <c r="D131" s="4" t="s">
        <v>647</v>
      </c>
      <c r="E131" s="3" t="s">
        <v>368</v>
      </c>
      <c r="F131" s="4" t="s">
        <v>213</v>
      </c>
      <c r="G131" s="3" t="s">
        <v>368</v>
      </c>
      <c r="H131" s="3" t="s">
        <v>430</v>
      </c>
      <c r="I131" s="4" t="s">
        <v>646</v>
      </c>
      <c r="J131" s="3" t="s">
        <v>381</v>
      </c>
      <c r="K131" s="4" t="s">
        <v>213</v>
      </c>
      <c r="L131" s="3" t="s">
        <v>368</v>
      </c>
      <c r="M131" s="4" t="s">
        <v>213</v>
      </c>
      <c r="N131" s="8" t="s">
        <v>658</v>
      </c>
    </row>
    <row r="132" spans="1:14" ht="18" customHeight="1" x14ac:dyDescent="0.3">
      <c r="A132" s="7" t="s">
        <v>373</v>
      </c>
      <c r="B132" s="4" t="s">
        <v>646</v>
      </c>
      <c r="C132" s="3" t="s">
        <v>370</v>
      </c>
      <c r="D132" s="4" t="s">
        <v>647</v>
      </c>
      <c r="E132" s="3" t="s">
        <v>391</v>
      </c>
      <c r="F132" s="4" t="s">
        <v>214</v>
      </c>
      <c r="G132" s="3" t="s">
        <v>368</v>
      </c>
      <c r="H132" s="3" t="s">
        <v>430</v>
      </c>
      <c r="I132" s="4" t="s">
        <v>646</v>
      </c>
      <c r="J132" s="3" t="s">
        <v>369</v>
      </c>
      <c r="K132" s="4" t="s">
        <v>214</v>
      </c>
      <c r="L132" s="3" t="s">
        <v>368</v>
      </c>
      <c r="M132" s="4" t="s">
        <v>214</v>
      </c>
      <c r="N132" s="8" t="s">
        <v>657</v>
      </c>
    </row>
    <row r="133" spans="1:14" ht="18" customHeight="1" x14ac:dyDescent="0.3">
      <c r="A133" s="7" t="s">
        <v>373</v>
      </c>
      <c r="B133" s="4" t="s">
        <v>646</v>
      </c>
      <c r="C133" s="3" t="s">
        <v>370</v>
      </c>
      <c r="D133" s="4" t="s">
        <v>647</v>
      </c>
      <c r="E133" s="3" t="s">
        <v>379</v>
      </c>
      <c r="F133" s="4" t="s">
        <v>215</v>
      </c>
      <c r="G133" s="3" t="s">
        <v>368</v>
      </c>
      <c r="H133" s="3" t="s">
        <v>430</v>
      </c>
      <c r="I133" s="4" t="s">
        <v>646</v>
      </c>
      <c r="J133" s="3" t="s">
        <v>407</v>
      </c>
      <c r="K133" s="4" t="s">
        <v>215</v>
      </c>
      <c r="L133" s="3" t="s">
        <v>368</v>
      </c>
      <c r="M133" s="4" t="s">
        <v>656</v>
      </c>
      <c r="N133" s="8" t="s">
        <v>655</v>
      </c>
    </row>
    <row r="134" spans="1:14" ht="18" customHeight="1" x14ac:dyDescent="0.3">
      <c r="A134" s="7" t="s">
        <v>373</v>
      </c>
      <c r="B134" s="4" t="s">
        <v>646</v>
      </c>
      <c r="C134" s="5" t="s">
        <v>370</v>
      </c>
      <c r="D134" s="6" t="s">
        <v>647</v>
      </c>
      <c r="E134" s="5" t="s">
        <v>386</v>
      </c>
      <c r="F134" s="6" t="s">
        <v>216</v>
      </c>
      <c r="G134" s="5" t="s">
        <v>368</v>
      </c>
      <c r="H134" s="5" t="s">
        <v>430</v>
      </c>
      <c r="I134" s="6" t="s">
        <v>646</v>
      </c>
      <c r="J134" s="5" t="s">
        <v>375</v>
      </c>
      <c r="K134" s="6" t="s">
        <v>653</v>
      </c>
      <c r="L134" s="5" t="s">
        <v>390</v>
      </c>
      <c r="M134" s="6" t="s">
        <v>652</v>
      </c>
      <c r="N134" s="9" t="s">
        <v>654</v>
      </c>
    </row>
    <row r="135" spans="1:14" ht="18" customHeight="1" x14ac:dyDescent="0.3">
      <c r="A135" s="7" t="s">
        <v>373</v>
      </c>
      <c r="B135" s="4" t="s">
        <v>646</v>
      </c>
      <c r="C135" s="5" t="s">
        <v>370</v>
      </c>
      <c r="D135" s="6" t="s">
        <v>647</v>
      </c>
      <c r="E135" s="5" t="s">
        <v>381</v>
      </c>
      <c r="F135" s="6" t="s">
        <v>217</v>
      </c>
      <c r="G135" s="5" t="s">
        <v>368</v>
      </c>
      <c r="H135" s="5" t="s">
        <v>430</v>
      </c>
      <c r="I135" s="6" t="s">
        <v>646</v>
      </c>
      <c r="J135" s="5" t="s">
        <v>375</v>
      </c>
      <c r="K135" s="6" t="s">
        <v>653</v>
      </c>
      <c r="L135" s="5" t="s">
        <v>388</v>
      </c>
      <c r="M135" s="6" t="s">
        <v>652</v>
      </c>
      <c r="N135" s="9" t="s">
        <v>651</v>
      </c>
    </row>
    <row r="136" spans="1:14" ht="18" customHeight="1" x14ac:dyDescent="0.3">
      <c r="A136" s="7" t="s">
        <v>373</v>
      </c>
      <c r="B136" s="4" t="s">
        <v>646</v>
      </c>
      <c r="C136" s="3" t="s">
        <v>370</v>
      </c>
      <c r="D136" s="4" t="s">
        <v>647</v>
      </c>
      <c r="E136" s="3" t="s">
        <v>369</v>
      </c>
      <c r="F136" s="4" t="s">
        <v>218</v>
      </c>
      <c r="G136" s="3" t="s">
        <v>368</v>
      </c>
      <c r="H136" s="3" t="s">
        <v>430</v>
      </c>
      <c r="I136" s="4" t="s">
        <v>646</v>
      </c>
      <c r="J136" s="3" t="s">
        <v>377</v>
      </c>
      <c r="K136" s="4" t="s">
        <v>218</v>
      </c>
      <c r="L136" s="3" t="s">
        <v>368</v>
      </c>
      <c r="M136" s="4" t="s">
        <v>218</v>
      </c>
      <c r="N136" s="8" t="s">
        <v>650</v>
      </c>
    </row>
    <row r="137" spans="1:14" ht="18" customHeight="1" x14ac:dyDescent="0.3">
      <c r="A137" s="7" t="s">
        <v>373</v>
      </c>
      <c r="B137" s="4" t="s">
        <v>646</v>
      </c>
      <c r="C137" s="3" t="s">
        <v>370</v>
      </c>
      <c r="D137" s="4" t="s">
        <v>647</v>
      </c>
      <c r="E137" s="3" t="s">
        <v>371</v>
      </c>
      <c r="F137" s="4" t="s">
        <v>219</v>
      </c>
      <c r="G137" s="3" t="s">
        <v>368</v>
      </c>
      <c r="H137" s="3" t="s">
        <v>430</v>
      </c>
      <c r="I137" s="4" t="s">
        <v>646</v>
      </c>
      <c r="J137" s="3" t="s">
        <v>368</v>
      </c>
      <c r="K137" s="4" t="s">
        <v>26</v>
      </c>
      <c r="L137" s="3" t="s">
        <v>391</v>
      </c>
      <c r="M137" s="4" t="s">
        <v>649</v>
      </c>
      <c r="N137" s="8" t="s">
        <v>648</v>
      </c>
    </row>
    <row r="138" spans="1:14" ht="18" customHeight="1" x14ac:dyDescent="0.3">
      <c r="A138" s="7" t="s">
        <v>373</v>
      </c>
      <c r="B138" s="4" t="s">
        <v>646</v>
      </c>
      <c r="C138" s="5" t="s">
        <v>370</v>
      </c>
      <c r="D138" s="6" t="s">
        <v>647</v>
      </c>
      <c r="E138" s="5" t="s">
        <v>407</v>
      </c>
      <c r="F138" s="6" t="s">
        <v>220</v>
      </c>
      <c r="G138" s="5" t="s">
        <v>368</v>
      </c>
      <c r="H138" s="5" t="s">
        <v>430</v>
      </c>
      <c r="I138" s="6" t="s">
        <v>646</v>
      </c>
      <c r="J138" s="5" t="s">
        <v>368</v>
      </c>
      <c r="K138" s="6" t="s">
        <v>26</v>
      </c>
      <c r="L138" s="5" t="s">
        <v>388</v>
      </c>
      <c r="M138" s="6" t="s">
        <v>26</v>
      </c>
      <c r="N138" s="9" t="s">
        <v>645</v>
      </c>
    </row>
    <row r="139" spans="1:14" ht="18" customHeight="1" x14ac:dyDescent="0.3">
      <c r="A139" s="7" t="s">
        <v>373</v>
      </c>
      <c r="B139" s="4" t="s">
        <v>637</v>
      </c>
      <c r="C139" s="5" t="s">
        <v>498</v>
      </c>
      <c r="D139" s="6" t="s">
        <v>637</v>
      </c>
      <c r="E139" s="5" t="s">
        <v>368</v>
      </c>
      <c r="F139" s="6" t="s">
        <v>221</v>
      </c>
      <c r="G139" s="5" t="s">
        <v>368</v>
      </c>
      <c r="H139" s="5" t="s">
        <v>554</v>
      </c>
      <c r="I139" s="6" t="s">
        <v>637</v>
      </c>
      <c r="J139" s="5" t="s">
        <v>368</v>
      </c>
      <c r="K139" s="6" t="s">
        <v>115</v>
      </c>
      <c r="L139" s="5" t="s">
        <v>390</v>
      </c>
      <c r="M139" s="6" t="s">
        <v>115</v>
      </c>
      <c r="N139" s="9" t="s">
        <v>644</v>
      </c>
    </row>
    <row r="140" spans="1:14" ht="18" customHeight="1" x14ac:dyDescent="0.3">
      <c r="A140" s="7" t="s">
        <v>373</v>
      </c>
      <c r="B140" s="4" t="s">
        <v>637</v>
      </c>
      <c r="C140" s="5" t="s">
        <v>498</v>
      </c>
      <c r="D140" s="6" t="s">
        <v>637</v>
      </c>
      <c r="E140" s="5" t="s">
        <v>391</v>
      </c>
      <c r="F140" s="6" t="s">
        <v>223</v>
      </c>
      <c r="G140" s="5" t="s">
        <v>368</v>
      </c>
      <c r="H140" s="5" t="s">
        <v>554</v>
      </c>
      <c r="I140" s="6" t="s">
        <v>637</v>
      </c>
      <c r="J140" s="5" t="s">
        <v>368</v>
      </c>
      <c r="K140" s="6" t="s">
        <v>115</v>
      </c>
      <c r="L140" s="5" t="s">
        <v>388</v>
      </c>
      <c r="M140" s="6" t="s">
        <v>115</v>
      </c>
      <c r="N140" s="9" t="s">
        <v>643</v>
      </c>
    </row>
    <row r="141" spans="1:14" ht="18" customHeight="1" x14ac:dyDescent="0.3">
      <c r="A141" s="7" t="s">
        <v>373</v>
      </c>
      <c r="B141" s="4" t="s">
        <v>637</v>
      </c>
      <c r="C141" s="5" t="s">
        <v>498</v>
      </c>
      <c r="D141" s="6" t="s">
        <v>637</v>
      </c>
      <c r="E141" s="5" t="s">
        <v>379</v>
      </c>
      <c r="F141" s="6" t="s">
        <v>224</v>
      </c>
      <c r="G141" s="5" t="s">
        <v>368</v>
      </c>
      <c r="H141" s="5" t="s">
        <v>554</v>
      </c>
      <c r="I141" s="6" t="s">
        <v>637</v>
      </c>
      <c r="J141" s="5" t="s">
        <v>368</v>
      </c>
      <c r="K141" s="6" t="s">
        <v>115</v>
      </c>
      <c r="L141" s="5" t="s">
        <v>384</v>
      </c>
      <c r="M141" s="6" t="s">
        <v>115</v>
      </c>
      <c r="N141" s="9" t="s">
        <v>642</v>
      </c>
    </row>
    <row r="142" spans="1:14" ht="18" customHeight="1" x14ac:dyDescent="0.3">
      <c r="A142" s="7" t="s">
        <v>373</v>
      </c>
      <c r="B142" s="4" t="s">
        <v>637</v>
      </c>
      <c r="C142" s="5" t="s">
        <v>498</v>
      </c>
      <c r="D142" s="6" t="s">
        <v>637</v>
      </c>
      <c r="E142" s="5" t="s">
        <v>386</v>
      </c>
      <c r="F142" s="6" t="s">
        <v>225</v>
      </c>
      <c r="G142" s="5" t="s">
        <v>368</v>
      </c>
      <c r="H142" s="5" t="s">
        <v>554</v>
      </c>
      <c r="I142" s="6" t="s">
        <v>637</v>
      </c>
      <c r="J142" s="5" t="s">
        <v>368</v>
      </c>
      <c r="K142" s="6" t="s">
        <v>115</v>
      </c>
      <c r="L142" s="5" t="s">
        <v>466</v>
      </c>
      <c r="M142" s="6" t="s">
        <v>115</v>
      </c>
      <c r="N142" s="9" t="s">
        <v>641</v>
      </c>
    </row>
    <row r="143" spans="1:14" ht="18" customHeight="1" x14ac:dyDescent="0.3">
      <c r="A143" s="7" t="s">
        <v>373</v>
      </c>
      <c r="B143" s="4" t="s">
        <v>637</v>
      </c>
      <c r="C143" s="3" t="s">
        <v>498</v>
      </c>
      <c r="D143" s="4" t="s">
        <v>637</v>
      </c>
      <c r="E143" s="3" t="s">
        <v>381</v>
      </c>
      <c r="F143" s="4" t="s">
        <v>227</v>
      </c>
      <c r="G143" s="3" t="s">
        <v>368</v>
      </c>
      <c r="H143" s="3" t="s">
        <v>554</v>
      </c>
      <c r="I143" s="4" t="s">
        <v>637</v>
      </c>
      <c r="J143" s="3" t="s">
        <v>391</v>
      </c>
      <c r="K143" s="4" t="s">
        <v>227</v>
      </c>
      <c r="L143" s="3" t="s">
        <v>368</v>
      </c>
      <c r="M143" s="4" t="s">
        <v>227</v>
      </c>
      <c r="N143" s="8" t="s">
        <v>640</v>
      </c>
    </row>
    <row r="144" spans="1:14" ht="18" customHeight="1" x14ac:dyDescent="0.3">
      <c r="A144" s="7" t="s">
        <v>373</v>
      </c>
      <c r="B144" s="4" t="s">
        <v>637</v>
      </c>
      <c r="C144" s="5" t="s">
        <v>498</v>
      </c>
      <c r="D144" s="6" t="s">
        <v>637</v>
      </c>
      <c r="E144" s="5" t="s">
        <v>369</v>
      </c>
      <c r="F144" s="6" t="s">
        <v>228</v>
      </c>
      <c r="G144" s="5" t="s">
        <v>368</v>
      </c>
      <c r="H144" s="5" t="s">
        <v>554</v>
      </c>
      <c r="I144" s="6" t="s">
        <v>637</v>
      </c>
      <c r="J144" s="5" t="s">
        <v>379</v>
      </c>
      <c r="K144" s="6" t="s">
        <v>637</v>
      </c>
      <c r="L144" s="5" t="s">
        <v>390</v>
      </c>
      <c r="M144" s="6" t="s">
        <v>637</v>
      </c>
      <c r="N144" s="9" t="s">
        <v>639</v>
      </c>
    </row>
    <row r="145" spans="1:14" ht="18" customHeight="1" x14ac:dyDescent="0.3">
      <c r="A145" s="7" t="s">
        <v>373</v>
      </c>
      <c r="B145" s="4" t="s">
        <v>637</v>
      </c>
      <c r="C145" s="5" t="s">
        <v>498</v>
      </c>
      <c r="D145" s="6" t="s">
        <v>637</v>
      </c>
      <c r="E145" s="5" t="s">
        <v>371</v>
      </c>
      <c r="F145" s="6" t="s">
        <v>229</v>
      </c>
      <c r="G145" s="5" t="s">
        <v>368</v>
      </c>
      <c r="H145" s="5" t="s">
        <v>554</v>
      </c>
      <c r="I145" s="6" t="s">
        <v>637</v>
      </c>
      <c r="J145" s="5" t="s">
        <v>379</v>
      </c>
      <c r="K145" s="6" t="s">
        <v>637</v>
      </c>
      <c r="L145" s="5" t="s">
        <v>388</v>
      </c>
      <c r="M145" s="6" t="s">
        <v>637</v>
      </c>
      <c r="N145" s="9" t="s">
        <v>638</v>
      </c>
    </row>
    <row r="146" spans="1:14" ht="18" customHeight="1" x14ac:dyDescent="0.3">
      <c r="A146" s="7" t="s">
        <v>373</v>
      </c>
      <c r="B146" s="4" t="s">
        <v>637</v>
      </c>
      <c r="C146" s="5" t="s">
        <v>498</v>
      </c>
      <c r="D146" s="6" t="s">
        <v>637</v>
      </c>
      <c r="E146" s="5" t="s">
        <v>407</v>
      </c>
      <c r="F146" s="6" t="s">
        <v>232</v>
      </c>
      <c r="G146" s="5" t="s">
        <v>368</v>
      </c>
      <c r="H146" s="5" t="s">
        <v>554</v>
      </c>
      <c r="I146" s="6" t="s">
        <v>637</v>
      </c>
      <c r="J146" s="5" t="s">
        <v>379</v>
      </c>
      <c r="K146" s="6" t="s">
        <v>637</v>
      </c>
      <c r="L146" s="5" t="s">
        <v>384</v>
      </c>
      <c r="M146" s="6" t="s">
        <v>637</v>
      </c>
      <c r="N146" s="9" t="s">
        <v>636</v>
      </c>
    </row>
    <row r="147" spans="1:14" ht="18" customHeight="1" x14ac:dyDescent="0.3">
      <c r="A147" s="7" t="s">
        <v>537</v>
      </c>
      <c r="B147" s="4" t="s">
        <v>536</v>
      </c>
      <c r="C147" s="3" t="s">
        <v>490</v>
      </c>
      <c r="D147" s="4" t="s">
        <v>620</v>
      </c>
      <c r="E147" s="3" t="s">
        <v>368</v>
      </c>
      <c r="F147" s="4" t="s">
        <v>233</v>
      </c>
      <c r="G147" s="3" t="s">
        <v>368</v>
      </c>
      <c r="H147" s="3" t="s">
        <v>515</v>
      </c>
      <c r="I147" s="4" t="s">
        <v>178</v>
      </c>
      <c r="J147" s="3" t="s">
        <v>368</v>
      </c>
      <c r="K147" s="4" t="s">
        <v>178</v>
      </c>
      <c r="L147" s="3" t="s">
        <v>478</v>
      </c>
      <c r="M147" s="4" t="s">
        <v>233</v>
      </c>
      <c r="N147" s="8" t="s">
        <v>635</v>
      </c>
    </row>
    <row r="148" spans="1:14" ht="18" customHeight="1" x14ac:dyDescent="0.3">
      <c r="A148" s="7" t="s">
        <v>537</v>
      </c>
      <c r="B148" s="4" t="s">
        <v>536</v>
      </c>
      <c r="C148" s="3" t="s">
        <v>490</v>
      </c>
      <c r="D148" s="4" t="s">
        <v>620</v>
      </c>
      <c r="E148" s="3" t="s">
        <v>391</v>
      </c>
      <c r="F148" s="4" t="s">
        <v>234</v>
      </c>
      <c r="G148" s="3" t="s">
        <v>368</v>
      </c>
      <c r="H148" s="3" t="s">
        <v>515</v>
      </c>
      <c r="I148" s="4" t="s">
        <v>178</v>
      </c>
      <c r="J148" s="3" t="s">
        <v>368</v>
      </c>
      <c r="K148" s="4" t="s">
        <v>178</v>
      </c>
      <c r="L148" s="3" t="s">
        <v>402</v>
      </c>
      <c r="M148" s="4" t="s">
        <v>234</v>
      </c>
      <c r="N148" s="8" t="s">
        <v>634</v>
      </c>
    </row>
    <row r="149" spans="1:14" ht="18" customHeight="1" x14ac:dyDescent="0.3">
      <c r="A149" s="7" t="s">
        <v>537</v>
      </c>
      <c r="B149" s="4" t="s">
        <v>536</v>
      </c>
      <c r="C149" s="3" t="s">
        <v>490</v>
      </c>
      <c r="D149" s="4" t="s">
        <v>620</v>
      </c>
      <c r="E149" s="3" t="s">
        <v>379</v>
      </c>
      <c r="F149" s="4" t="s">
        <v>235</v>
      </c>
      <c r="G149" s="3" t="s">
        <v>368</v>
      </c>
      <c r="H149" s="3" t="s">
        <v>515</v>
      </c>
      <c r="I149" s="4" t="s">
        <v>178</v>
      </c>
      <c r="J149" s="3" t="s">
        <v>368</v>
      </c>
      <c r="K149" s="4" t="s">
        <v>178</v>
      </c>
      <c r="L149" s="3" t="s">
        <v>491</v>
      </c>
      <c r="M149" s="4" t="s">
        <v>235</v>
      </c>
      <c r="N149" s="8" t="s">
        <v>633</v>
      </c>
    </row>
    <row r="150" spans="1:14" ht="18" customHeight="1" x14ac:dyDescent="0.3">
      <c r="A150" s="7" t="s">
        <v>537</v>
      </c>
      <c r="B150" s="4" t="s">
        <v>536</v>
      </c>
      <c r="C150" s="5" t="s">
        <v>490</v>
      </c>
      <c r="D150" s="6" t="s">
        <v>620</v>
      </c>
      <c r="E150" s="5" t="s">
        <v>386</v>
      </c>
      <c r="F150" s="6" t="s">
        <v>236</v>
      </c>
      <c r="G150" s="5" t="s">
        <v>368</v>
      </c>
      <c r="H150" s="5" t="s">
        <v>515</v>
      </c>
      <c r="I150" s="6" t="s">
        <v>178</v>
      </c>
      <c r="J150" s="5" t="s">
        <v>368</v>
      </c>
      <c r="K150" s="6" t="s">
        <v>178</v>
      </c>
      <c r="L150" s="5" t="s">
        <v>632</v>
      </c>
      <c r="M150" s="6" t="s">
        <v>629</v>
      </c>
      <c r="N150" s="9" t="s">
        <v>631</v>
      </c>
    </row>
    <row r="151" spans="1:14" ht="18" customHeight="1" x14ac:dyDescent="0.3">
      <c r="A151" s="7" t="s">
        <v>537</v>
      </c>
      <c r="B151" s="4" t="s">
        <v>536</v>
      </c>
      <c r="C151" s="5" t="s">
        <v>490</v>
      </c>
      <c r="D151" s="6" t="s">
        <v>620</v>
      </c>
      <c r="E151" s="5" t="s">
        <v>381</v>
      </c>
      <c r="F151" s="6" t="s">
        <v>237</v>
      </c>
      <c r="G151" s="5" t="s">
        <v>368</v>
      </c>
      <c r="H151" s="5" t="s">
        <v>515</v>
      </c>
      <c r="I151" s="6" t="s">
        <v>178</v>
      </c>
      <c r="J151" s="5" t="s">
        <v>368</v>
      </c>
      <c r="K151" s="6" t="s">
        <v>178</v>
      </c>
      <c r="L151" s="5" t="s">
        <v>630</v>
      </c>
      <c r="M151" s="6" t="s">
        <v>629</v>
      </c>
      <c r="N151" s="9" t="s">
        <v>628</v>
      </c>
    </row>
    <row r="152" spans="1:14" ht="18" customHeight="1" x14ac:dyDescent="0.3">
      <c r="A152" s="7" t="s">
        <v>537</v>
      </c>
      <c r="B152" s="4" t="s">
        <v>536</v>
      </c>
      <c r="C152" s="5" t="s">
        <v>490</v>
      </c>
      <c r="D152" s="6" t="s">
        <v>620</v>
      </c>
      <c r="E152" s="5" t="s">
        <v>369</v>
      </c>
      <c r="F152" s="6" t="s">
        <v>239</v>
      </c>
      <c r="G152" s="5" t="s">
        <v>368</v>
      </c>
      <c r="H152" s="5" t="s">
        <v>515</v>
      </c>
      <c r="I152" s="6" t="s">
        <v>178</v>
      </c>
      <c r="J152" s="5" t="s">
        <v>368</v>
      </c>
      <c r="K152" s="6" t="s">
        <v>178</v>
      </c>
      <c r="L152" s="5" t="s">
        <v>627</v>
      </c>
      <c r="M152" s="6" t="s">
        <v>624</v>
      </c>
      <c r="N152" s="9" t="s">
        <v>626</v>
      </c>
    </row>
    <row r="153" spans="1:14" ht="18" customHeight="1" x14ac:dyDescent="0.3">
      <c r="A153" s="7" t="s">
        <v>537</v>
      </c>
      <c r="B153" s="4" t="s">
        <v>536</v>
      </c>
      <c r="C153" s="5" t="s">
        <v>490</v>
      </c>
      <c r="D153" s="6" t="s">
        <v>620</v>
      </c>
      <c r="E153" s="5" t="s">
        <v>371</v>
      </c>
      <c r="F153" s="6" t="s">
        <v>240</v>
      </c>
      <c r="G153" s="5" t="s">
        <v>368</v>
      </c>
      <c r="H153" s="5" t="s">
        <v>515</v>
      </c>
      <c r="I153" s="6" t="s">
        <v>178</v>
      </c>
      <c r="J153" s="5" t="s">
        <v>368</v>
      </c>
      <c r="K153" s="6" t="s">
        <v>178</v>
      </c>
      <c r="L153" s="5" t="s">
        <v>625</v>
      </c>
      <c r="M153" s="6" t="s">
        <v>624</v>
      </c>
      <c r="N153" s="9" t="s">
        <v>623</v>
      </c>
    </row>
    <row r="154" spans="1:14" ht="18" customHeight="1" x14ac:dyDescent="0.3">
      <c r="A154" s="7" t="s">
        <v>537</v>
      </c>
      <c r="B154" s="4" t="s">
        <v>536</v>
      </c>
      <c r="C154" s="5" t="s">
        <v>490</v>
      </c>
      <c r="D154" s="6" t="s">
        <v>620</v>
      </c>
      <c r="E154" s="5" t="s">
        <v>407</v>
      </c>
      <c r="F154" s="6" t="s">
        <v>241</v>
      </c>
      <c r="G154" s="5" t="s">
        <v>368</v>
      </c>
      <c r="H154" s="5" t="s">
        <v>515</v>
      </c>
      <c r="I154" s="6" t="s">
        <v>178</v>
      </c>
      <c r="J154" s="5" t="s">
        <v>368</v>
      </c>
      <c r="K154" s="6" t="s">
        <v>178</v>
      </c>
      <c r="L154" s="5" t="s">
        <v>622</v>
      </c>
      <c r="M154" s="6" t="s">
        <v>618</v>
      </c>
      <c r="N154" s="9" t="s">
        <v>621</v>
      </c>
    </row>
    <row r="155" spans="1:14" ht="18" customHeight="1" x14ac:dyDescent="0.3">
      <c r="A155" s="7" t="s">
        <v>537</v>
      </c>
      <c r="B155" s="4" t="s">
        <v>536</v>
      </c>
      <c r="C155" s="5" t="s">
        <v>490</v>
      </c>
      <c r="D155" s="6" t="s">
        <v>620</v>
      </c>
      <c r="E155" s="5" t="s">
        <v>375</v>
      </c>
      <c r="F155" s="6" t="s">
        <v>243</v>
      </c>
      <c r="G155" s="5" t="s">
        <v>368</v>
      </c>
      <c r="H155" s="5" t="s">
        <v>515</v>
      </c>
      <c r="I155" s="6" t="s">
        <v>178</v>
      </c>
      <c r="J155" s="5" t="s">
        <v>368</v>
      </c>
      <c r="K155" s="6" t="s">
        <v>178</v>
      </c>
      <c r="L155" s="5" t="s">
        <v>619</v>
      </c>
      <c r="M155" s="6" t="s">
        <v>618</v>
      </c>
      <c r="N155" s="9" t="s">
        <v>617</v>
      </c>
    </row>
    <row r="156" spans="1:14" ht="18" customHeight="1" x14ac:dyDescent="0.3">
      <c r="A156" s="7" t="s">
        <v>537</v>
      </c>
      <c r="B156" s="4" t="s">
        <v>536</v>
      </c>
      <c r="C156" s="3" t="s">
        <v>478</v>
      </c>
      <c r="D156" s="4" t="s">
        <v>605</v>
      </c>
      <c r="E156" s="3" t="s">
        <v>368</v>
      </c>
      <c r="F156" s="4" t="s">
        <v>244</v>
      </c>
      <c r="G156" s="3" t="s">
        <v>368</v>
      </c>
      <c r="H156" s="3" t="s">
        <v>515</v>
      </c>
      <c r="I156" s="4" t="s">
        <v>178</v>
      </c>
      <c r="J156" s="3" t="s">
        <v>368</v>
      </c>
      <c r="K156" s="4" t="s">
        <v>178</v>
      </c>
      <c r="L156" s="3" t="s">
        <v>432</v>
      </c>
      <c r="M156" s="4" t="s">
        <v>244</v>
      </c>
      <c r="N156" s="8" t="s">
        <v>616</v>
      </c>
    </row>
    <row r="157" spans="1:14" ht="18" customHeight="1" x14ac:dyDescent="0.3">
      <c r="A157" s="7" t="s">
        <v>537</v>
      </c>
      <c r="B157" s="4" t="s">
        <v>536</v>
      </c>
      <c r="C157" s="5" t="s">
        <v>478</v>
      </c>
      <c r="D157" s="6" t="s">
        <v>605</v>
      </c>
      <c r="E157" s="5" t="s">
        <v>391</v>
      </c>
      <c r="F157" s="6" t="s">
        <v>245</v>
      </c>
      <c r="G157" s="5" t="s">
        <v>368</v>
      </c>
      <c r="H157" s="5" t="s">
        <v>515</v>
      </c>
      <c r="I157" s="6" t="s">
        <v>178</v>
      </c>
      <c r="J157" s="5" t="s">
        <v>368</v>
      </c>
      <c r="K157" s="6" t="s">
        <v>178</v>
      </c>
      <c r="L157" s="5" t="s">
        <v>615</v>
      </c>
      <c r="M157" s="6" t="s">
        <v>612</v>
      </c>
      <c r="N157" s="9" t="s">
        <v>614</v>
      </c>
    </row>
    <row r="158" spans="1:14" ht="18" customHeight="1" x14ac:dyDescent="0.3">
      <c r="A158" s="7" t="s">
        <v>537</v>
      </c>
      <c r="B158" s="4" t="s">
        <v>536</v>
      </c>
      <c r="C158" s="5" t="s">
        <v>478</v>
      </c>
      <c r="D158" s="6" t="s">
        <v>605</v>
      </c>
      <c r="E158" s="5" t="s">
        <v>379</v>
      </c>
      <c r="F158" s="6" t="s">
        <v>247</v>
      </c>
      <c r="G158" s="5" t="s">
        <v>368</v>
      </c>
      <c r="H158" s="5" t="s">
        <v>515</v>
      </c>
      <c r="I158" s="6" t="s">
        <v>178</v>
      </c>
      <c r="J158" s="5" t="s">
        <v>368</v>
      </c>
      <c r="K158" s="6" t="s">
        <v>178</v>
      </c>
      <c r="L158" s="5" t="s">
        <v>613</v>
      </c>
      <c r="M158" s="6" t="s">
        <v>612</v>
      </c>
      <c r="N158" s="9" t="s">
        <v>611</v>
      </c>
    </row>
    <row r="159" spans="1:14" ht="18" customHeight="1" x14ac:dyDescent="0.3">
      <c r="A159" s="7" t="s">
        <v>537</v>
      </c>
      <c r="B159" s="4" t="s">
        <v>536</v>
      </c>
      <c r="C159" s="3" t="s">
        <v>478</v>
      </c>
      <c r="D159" s="4" t="s">
        <v>605</v>
      </c>
      <c r="E159" s="3" t="s">
        <v>386</v>
      </c>
      <c r="F159" s="4" t="s">
        <v>89</v>
      </c>
      <c r="G159" s="3" t="s">
        <v>368</v>
      </c>
      <c r="H159" s="3" t="s">
        <v>515</v>
      </c>
      <c r="I159" s="4" t="s">
        <v>178</v>
      </c>
      <c r="J159" s="3" t="s">
        <v>368</v>
      </c>
      <c r="K159" s="4" t="s">
        <v>178</v>
      </c>
      <c r="L159" s="3" t="s">
        <v>499</v>
      </c>
      <c r="M159" s="4" t="s">
        <v>89</v>
      </c>
      <c r="N159" s="8" t="s">
        <v>610</v>
      </c>
    </row>
    <row r="160" spans="1:14" ht="18" customHeight="1" x14ac:dyDescent="0.3">
      <c r="A160" s="7" t="s">
        <v>537</v>
      </c>
      <c r="B160" s="4" t="s">
        <v>536</v>
      </c>
      <c r="C160" s="5" t="s">
        <v>478</v>
      </c>
      <c r="D160" s="6" t="s">
        <v>605</v>
      </c>
      <c r="E160" s="5" t="s">
        <v>381</v>
      </c>
      <c r="F160" s="6" t="s">
        <v>248</v>
      </c>
      <c r="G160" s="5" t="s">
        <v>368</v>
      </c>
      <c r="H160" s="5" t="s">
        <v>515</v>
      </c>
      <c r="I160" s="6" t="s">
        <v>178</v>
      </c>
      <c r="J160" s="5" t="s">
        <v>368</v>
      </c>
      <c r="K160" s="6" t="s">
        <v>178</v>
      </c>
      <c r="L160" s="5" t="s">
        <v>609</v>
      </c>
      <c r="M160" s="6" t="s">
        <v>603</v>
      </c>
      <c r="N160" s="9" t="s">
        <v>608</v>
      </c>
    </row>
    <row r="161" spans="1:14" ht="18" customHeight="1" x14ac:dyDescent="0.3">
      <c r="A161" s="7" t="s">
        <v>537</v>
      </c>
      <c r="B161" s="4" t="s">
        <v>536</v>
      </c>
      <c r="C161" s="5" t="s">
        <v>478</v>
      </c>
      <c r="D161" s="6" t="s">
        <v>605</v>
      </c>
      <c r="E161" s="5" t="s">
        <v>369</v>
      </c>
      <c r="F161" s="6" t="s">
        <v>249</v>
      </c>
      <c r="G161" s="5" t="s">
        <v>368</v>
      </c>
      <c r="H161" s="5" t="s">
        <v>515</v>
      </c>
      <c r="I161" s="6" t="s">
        <v>178</v>
      </c>
      <c r="J161" s="5" t="s">
        <v>368</v>
      </c>
      <c r="K161" s="6" t="s">
        <v>178</v>
      </c>
      <c r="L161" s="5" t="s">
        <v>607</v>
      </c>
      <c r="M161" s="6" t="s">
        <v>603</v>
      </c>
      <c r="N161" s="9" t="s">
        <v>606</v>
      </c>
    </row>
    <row r="162" spans="1:14" ht="18" customHeight="1" x14ac:dyDescent="0.3">
      <c r="A162" s="7" t="s">
        <v>537</v>
      </c>
      <c r="B162" s="4" t="s">
        <v>536</v>
      </c>
      <c r="C162" s="5" t="s">
        <v>478</v>
      </c>
      <c r="D162" s="6" t="s">
        <v>605</v>
      </c>
      <c r="E162" s="5" t="s">
        <v>371</v>
      </c>
      <c r="F162" s="6" t="s">
        <v>250</v>
      </c>
      <c r="G162" s="5" t="s">
        <v>368</v>
      </c>
      <c r="H162" s="5" t="s">
        <v>515</v>
      </c>
      <c r="I162" s="6" t="s">
        <v>178</v>
      </c>
      <c r="J162" s="5" t="s">
        <v>368</v>
      </c>
      <c r="K162" s="6" t="s">
        <v>178</v>
      </c>
      <c r="L162" s="5" t="s">
        <v>604</v>
      </c>
      <c r="M162" s="6" t="s">
        <v>603</v>
      </c>
      <c r="N162" s="9" t="s">
        <v>602</v>
      </c>
    </row>
    <row r="163" spans="1:14" ht="18" customHeight="1" x14ac:dyDescent="0.3">
      <c r="A163" s="7" t="s">
        <v>537</v>
      </c>
      <c r="B163" s="4" t="s">
        <v>536</v>
      </c>
      <c r="C163" s="3" t="s">
        <v>457</v>
      </c>
      <c r="D163" s="4" t="s">
        <v>595</v>
      </c>
      <c r="E163" s="3" t="s">
        <v>368</v>
      </c>
      <c r="F163" s="4" t="s">
        <v>251</v>
      </c>
      <c r="G163" s="3" t="s">
        <v>368</v>
      </c>
      <c r="H163" s="3" t="s">
        <v>515</v>
      </c>
      <c r="I163" s="4" t="s">
        <v>178</v>
      </c>
      <c r="J163" s="3" t="s">
        <v>368</v>
      </c>
      <c r="K163" s="4" t="s">
        <v>178</v>
      </c>
      <c r="L163" s="3" t="s">
        <v>381</v>
      </c>
      <c r="M163" s="4" t="s">
        <v>251</v>
      </c>
      <c r="N163" s="8" t="s">
        <v>601</v>
      </c>
    </row>
    <row r="164" spans="1:14" ht="18" customHeight="1" x14ac:dyDescent="0.3">
      <c r="A164" s="7" t="s">
        <v>537</v>
      </c>
      <c r="B164" s="4" t="s">
        <v>536</v>
      </c>
      <c r="C164" s="3" t="s">
        <v>457</v>
      </c>
      <c r="D164" s="4" t="s">
        <v>595</v>
      </c>
      <c r="E164" s="3" t="s">
        <v>391</v>
      </c>
      <c r="F164" s="4" t="s">
        <v>252</v>
      </c>
      <c r="G164" s="3" t="s">
        <v>368</v>
      </c>
      <c r="H164" s="3" t="s">
        <v>515</v>
      </c>
      <c r="I164" s="4" t="s">
        <v>178</v>
      </c>
      <c r="J164" s="3" t="s">
        <v>368</v>
      </c>
      <c r="K164" s="4" t="s">
        <v>178</v>
      </c>
      <c r="L164" s="3" t="s">
        <v>430</v>
      </c>
      <c r="M164" s="4" t="s">
        <v>198</v>
      </c>
      <c r="N164" s="8" t="s">
        <v>600</v>
      </c>
    </row>
    <row r="165" spans="1:14" ht="18" customHeight="1" x14ac:dyDescent="0.3">
      <c r="A165" s="7" t="s">
        <v>537</v>
      </c>
      <c r="B165" s="4" t="s">
        <v>536</v>
      </c>
      <c r="C165" s="3" t="s">
        <v>457</v>
      </c>
      <c r="D165" s="4" t="s">
        <v>595</v>
      </c>
      <c r="E165" s="3" t="s">
        <v>379</v>
      </c>
      <c r="F165" s="4" t="s">
        <v>253</v>
      </c>
      <c r="G165" s="3" t="s">
        <v>368</v>
      </c>
      <c r="H165" s="3" t="s">
        <v>515</v>
      </c>
      <c r="I165" s="4" t="s">
        <v>178</v>
      </c>
      <c r="J165" s="3" t="s">
        <v>368</v>
      </c>
      <c r="K165" s="4" t="s">
        <v>178</v>
      </c>
      <c r="L165" s="3" t="s">
        <v>515</v>
      </c>
      <c r="M165" s="4" t="s">
        <v>253</v>
      </c>
      <c r="N165" s="8" t="s">
        <v>599</v>
      </c>
    </row>
    <row r="166" spans="1:14" ht="18" customHeight="1" x14ac:dyDescent="0.3">
      <c r="A166" s="7" t="s">
        <v>537</v>
      </c>
      <c r="B166" s="4" t="s">
        <v>536</v>
      </c>
      <c r="C166" s="3" t="s">
        <v>457</v>
      </c>
      <c r="D166" s="4" t="s">
        <v>595</v>
      </c>
      <c r="E166" s="3" t="s">
        <v>386</v>
      </c>
      <c r="F166" s="4" t="s">
        <v>178</v>
      </c>
      <c r="G166" s="3" t="s">
        <v>368</v>
      </c>
      <c r="H166" s="3" t="s">
        <v>515</v>
      </c>
      <c r="I166" s="4" t="s">
        <v>178</v>
      </c>
      <c r="J166" s="3" t="s">
        <v>368</v>
      </c>
      <c r="K166" s="4" t="s">
        <v>178</v>
      </c>
      <c r="L166" s="3" t="s">
        <v>368</v>
      </c>
      <c r="M166" s="4" t="s">
        <v>178</v>
      </c>
      <c r="N166" s="8" t="s">
        <v>598</v>
      </c>
    </row>
    <row r="167" spans="1:14" ht="18" customHeight="1" x14ac:dyDescent="0.3">
      <c r="A167" s="7" t="s">
        <v>537</v>
      </c>
      <c r="B167" s="4" t="s">
        <v>536</v>
      </c>
      <c r="C167" s="3" t="s">
        <v>457</v>
      </c>
      <c r="D167" s="4" t="s">
        <v>595</v>
      </c>
      <c r="E167" s="3" t="s">
        <v>381</v>
      </c>
      <c r="F167" s="4" t="s">
        <v>254</v>
      </c>
      <c r="G167" s="3" t="s">
        <v>368</v>
      </c>
      <c r="H167" s="3" t="s">
        <v>515</v>
      </c>
      <c r="I167" s="4" t="s">
        <v>178</v>
      </c>
      <c r="J167" s="3" t="s">
        <v>368</v>
      </c>
      <c r="K167" s="4" t="s">
        <v>178</v>
      </c>
      <c r="L167" s="3" t="s">
        <v>431</v>
      </c>
      <c r="M167" s="4" t="s">
        <v>597</v>
      </c>
      <c r="N167" s="8" t="s">
        <v>596</v>
      </c>
    </row>
    <row r="168" spans="1:14" ht="18" customHeight="1" x14ac:dyDescent="0.3">
      <c r="A168" s="7" t="s">
        <v>537</v>
      </c>
      <c r="B168" s="4" t="s">
        <v>536</v>
      </c>
      <c r="C168" s="3" t="s">
        <v>457</v>
      </c>
      <c r="D168" s="4" t="s">
        <v>595</v>
      </c>
      <c r="E168" s="3" t="s">
        <v>369</v>
      </c>
      <c r="F168" s="4" t="s">
        <v>255</v>
      </c>
      <c r="G168" s="3" t="s">
        <v>368</v>
      </c>
      <c r="H168" s="3" t="s">
        <v>515</v>
      </c>
      <c r="I168" s="4" t="s">
        <v>178</v>
      </c>
      <c r="J168" s="3" t="s">
        <v>368</v>
      </c>
      <c r="K168" s="4" t="s">
        <v>178</v>
      </c>
      <c r="L168" s="3" t="s">
        <v>397</v>
      </c>
      <c r="M168" s="4" t="s">
        <v>255</v>
      </c>
      <c r="N168" s="8" t="s">
        <v>594</v>
      </c>
    </row>
    <row r="169" spans="1:14" ht="18" customHeight="1" x14ac:dyDescent="0.3">
      <c r="A169" s="7" t="s">
        <v>537</v>
      </c>
      <c r="B169" s="4" t="s">
        <v>536</v>
      </c>
      <c r="C169" s="3" t="s">
        <v>431</v>
      </c>
      <c r="D169" s="4" t="s">
        <v>580</v>
      </c>
      <c r="E169" s="3" t="s">
        <v>368</v>
      </c>
      <c r="F169" s="4" t="s">
        <v>256</v>
      </c>
      <c r="G169" s="3" t="s">
        <v>368</v>
      </c>
      <c r="H169" s="3" t="s">
        <v>515</v>
      </c>
      <c r="I169" s="4" t="s">
        <v>178</v>
      </c>
      <c r="J169" s="3" t="s">
        <v>368</v>
      </c>
      <c r="K169" s="4" t="s">
        <v>178</v>
      </c>
      <c r="L169" s="3" t="s">
        <v>391</v>
      </c>
      <c r="M169" s="4" t="s">
        <v>256</v>
      </c>
      <c r="N169" s="8" t="s">
        <v>593</v>
      </c>
    </row>
    <row r="170" spans="1:14" ht="18" customHeight="1" x14ac:dyDescent="0.3">
      <c r="A170" s="7" t="s">
        <v>537</v>
      </c>
      <c r="B170" s="4" t="s">
        <v>536</v>
      </c>
      <c r="C170" s="5" t="s">
        <v>431</v>
      </c>
      <c r="D170" s="6" t="s">
        <v>580</v>
      </c>
      <c r="E170" s="5" t="s">
        <v>391</v>
      </c>
      <c r="F170" s="6" t="s">
        <v>257</v>
      </c>
      <c r="G170" s="5" t="s">
        <v>368</v>
      </c>
      <c r="H170" s="5" t="s">
        <v>515</v>
      </c>
      <c r="I170" s="6" t="s">
        <v>178</v>
      </c>
      <c r="J170" s="5" t="s">
        <v>368</v>
      </c>
      <c r="K170" s="6" t="s">
        <v>178</v>
      </c>
      <c r="L170" s="5" t="s">
        <v>592</v>
      </c>
      <c r="M170" s="6" t="s">
        <v>589</v>
      </c>
      <c r="N170" s="9" t="s">
        <v>591</v>
      </c>
    </row>
    <row r="171" spans="1:14" ht="18" customHeight="1" x14ac:dyDescent="0.3">
      <c r="A171" s="7" t="s">
        <v>537</v>
      </c>
      <c r="B171" s="4" t="s">
        <v>536</v>
      </c>
      <c r="C171" s="5" t="s">
        <v>431</v>
      </c>
      <c r="D171" s="6" t="s">
        <v>580</v>
      </c>
      <c r="E171" s="5" t="s">
        <v>379</v>
      </c>
      <c r="F171" s="6" t="s">
        <v>258</v>
      </c>
      <c r="G171" s="5" t="s">
        <v>368</v>
      </c>
      <c r="H171" s="5" t="s">
        <v>515</v>
      </c>
      <c r="I171" s="6" t="s">
        <v>178</v>
      </c>
      <c r="J171" s="5" t="s">
        <v>368</v>
      </c>
      <c r="K171" s="6" t="s">
        <v>178</v>
      </c>
      <c r="L171" s="5" t="s">
        <v>590</v>
      </c>
      <c r="M171" s="6" t="s">
        <v>589</v>
      </c>
      <c r="N171" s="9" t="s">
        <v>588</v>
      </c>
    </row>
    <row r="172" spans="1:14" ht="18" customHeight="1" x14ac:dyDescent="0.3">
      <c r="A172" s="7" t="s">
        <v>537</v>
      </c>
      <c r="B172" s="4" t="s">
        <v>536</v>
      </c>
      <c r="C172" s="5" t="s">
        <v>431</v>
      </c>
      <c r="D172" s="6" t="s">
        <v>580</v>
      </c>
      <c r="E172" s="5" t="s">
        <v>386</v>
      </c>
      <c r="F172" s="6" t="s">
        <v>263</v>
      </c>
      <c r="G172" s="5" t="s">
        <v>368</v>
      </c>
      <c r="H172" s="5" t="s">
        <v>515</v>
      </c>
      <c r="I172" s="6" t="s">
        <v>178</v>
      </c>
      <c r="J172" s="5" t="s">
        <v>368</v>
      </c>
      <c r="K172" s="6" t="s">
        <v>178</v>
      </c>
      <c r="L172" s="5" t="s">
        <v>587</v>
      </c>
      <c r="M172" s="6" t="s">
        <v>584</v>
      </c>
      <c r="N172" s="9" t="s">
        <v>586</v>
      </c>
    </row>
    <row r="173" spans="1:14" ht="18" customHeight="1" x14ac:dyDescent="0.3">
      <c r="A173" s="7" t="s">
        <v>537</v>
      </c>
      <c r="B173" s="4" t="s">
        <v>536</v>
      </c>
      <c r="C173" s="5" t="s">
        <v>431</v>
      </c>
      <c r="D173" s="6" t="s">
        <v>580</v>
      </c>
      <c r="E173" s="5" t="s">
        <v>381</v>
      </c>
      <c r="F173" s="6" t="s">
        <v>266</v>
      </c>
      <c r="G173" s="5" t="s">
        <v>368</v>
      </c>
      <c r="H173" s="5" t="s">
        <v>515</v>
      </c>
      <c r="I173" s="6" t="s">
        <v>178</v>
      </c>
      <c r="J173" s="5" t="s">
        <v>368</v>
      </c>
      <c r="K173" s="6" t="s">
        <v>178</v>
      </c>
      <c r="L173" s="5" t="s">
        <v>585</v>
      </c>
      <c r="M173" s="6" t="s">
        <v>584</v>
      </c>
      <c r="N173" s="9" t="s">
        <v>583</v>
      </c>
    </row>
    <row r="174" spans="1:14" ht="18" customHeight="1" x14ac:dyDescent="0.3">
      <c r="A174" s="7" t="s">
        <v>537</v>
      </c>
      <c r="B174" s="4" t="s">
        <v>536</v>
      </c>
      <c r="C174" s="5" t="s">
        <v>431</v>
      </c>
      <c r="D174" s="6" t="s">
        <v>580</v>
      </c>
      <c r="E174" s="5" t="s">
        <v>369</v>
      </c>
      <c r="F174" s="6" t="s">
        <v>268</v>
      </c>
      <c r="G174" s="5" t="s">
        <v>368</v>
      </c>
      <c r="H174" s="5" t="s">
        <v>515</v>
      </c>
      <c r="I174" s="6" t="s">
        <v>178</v>
      </c>
      <c r="J174" s="5" t="s">
        <v>368</v>
      </c>
      <c r="K174" s="6" t="s">
        <v>178</v>
      </c>
      <c r="L174" s="5" t="s">
        <v>582</v>
      </c>
      <c r="M174" s="6" t="s">
        <v>578</v>
      </c>
      <c r="N174" s="9" t="s">
        <v>581</v>
      </c>
    </row>
    <row r="175" spans="1:14" ht="18" customHeight="1" x14ac:dyDescent="0.3">
      <c r="A175" s="7" t="s">
        <v>537</v>
      </c>
      <c r="B175" s="4" t="s">
        <v>536</v>
      </c>
      <c r="C175" s="5" t="s">
        <v>431</v>
      </c>
      <c r="D175" s="6" t="s">
        <v>580</v>
      </c>
      <c r="E175" s="5" t="s">
        <v>371</v>
      </c>
      <c r="F175" s="6" t="s">
        <v>269</v>
      </c>
      <c r="G175" s="5" t="s">
        <v>368</v>
      </c>
      <c r="H175" s="5" t="s">
        <v>515</v>
      </c>
      <c r="I175" s="6" t="s">
        <v>178</v>
      </c>
      <c r="J175" s="5" t="s">
        <v>368</v>
      </c>
      <c r="K175" s="6" t="s">
        <v>178</v>
      </c>
      <c r="L175" s="5" t="s">
        <v>579</v>
      </c>
      <c r="M175" s="6" t="s">
        <v>578</v>
      </c>
      <c r="N175" s="9" t="s">
        <v>577</v>
      </c>
    </row>
    <row r="176" spans="1:14" ht="18" customHeight="1" x14ac:dyDescent="0.3">
      <c r="A176" s="7" t="s">
        <v>537</v>
      </c>
      <c r="B176" s="4" t="s">
        <v>536</v>
      </c>
      <c r="C176" s="3" t="s">
        <v>406</v>
      </c>
      <c r="D176" s="4" t="s">
        <v>565</v>
      </c>
      <c r="E176" s="3" t="s">
        <v>368</v>
      </c>
      <c r="F176" s="4" t="s">
        <v>270</v>
      </c>
      <c r="G176" s="3" t="s">
        <v>368</v>
      </c>
      <c r="H176" s="3" t="s">
        <v>515</v>
      </c>
      <c r="I176" s="4" t="s">
        <v>178</v>
      </c>
      <c r="J176" s="3" t="s">
        <v>368</v>
      </c>
      <c r="K176" s="4" t="s">
        <v>178</v>
      </c>
      <c r="L176" s="3" t="s">
        <v>435</v>
      </c>
      <c r="M176" s="4" t="s">
        <v>270</v>
      </c>
      <c r="N176" s="8" t="s">
        <v>576</v>
      </c>
    </row>
    <row r="177" spans="1:14" ht="18" customHeight="1" x14ac:dyDescent="0.3">
      <c r="A177" s="7" t="s">
        <v>537</v>
      </c>
      <c r="B177" s="4" t="s">
        <v>536</v>
      </c>
      <c r="C177" s="5" t="s">
        <v>406</v>
      </c>
      <c r="D177" s="6" t="s">
        <v>565</v>
      </c>
      <c r="E177" s="5" t="s">
        <v>391</v>
      </c>
      <c r="F177" s="6" t="s">
        <v>271</v>
      </c>
      <c r="G177" s="5" t="s">
        <v>368</v>
      </c>
      <c r="H177" s="5" t="s">
        <v>515</v>
      </c>
      <c r="I177" s="6" t="s">
        <v>178</v>
      </c>
      <c r="J177" s="5" t="s">
        <v>368</v>
      </c>
      <c r="K177" s="6" t="s">
        <v>178</v>
      </c>
      <c r="L177" s="5" t="s">
        <v>575</v>
      </c>
      <c r="M177" s="6" t="s">
        <v>563</v>
      </c>
      <c r="N177" s="9" t="s">
        <v>574</v>
      </c>
    </row>
    <row r="178" spans="1:14" ht="18" customHeight="1" x14ac:dyDescent="0.3">
      <c r="A178" s="7" t="s">
        <v>537</v>
      </c>
      <c r="B178" s="4" t="s">
        <v>536</v>
      </c>
      <c r="C178" s="5" t="s">
        <v>406</v>
      </c>
      <c r="D178" s="6" t="s">
        <v>565</v>
      </c>
      <c r="E178" s="5" t="s">
        <v>379</v>
      </c>
      <c r="F178" s="6" t="s">
        <v>272</v>
      </c>
      <c r="G178" s="5" t="s">
        <v>368</v>
      </c>
      <c r="H178" s="5" t="s">
        <v>515</v>
      </c>
      <c r="I178" s="6" t="s">
        <v>178</v>
      </c>
      <c r="J178" s="5" t="s">
        <v>368</v>
      </c>
      <c r="K178" s="6" t="s">
        <v>178</v>
      </c>
      <c r="L178" s="5" t="s">
        <v>573</v>
      </c>
      <c r="M178" s="6" t="s">
        <v>563</v>
      </c>
      <c r="N178" s="9" t="s">
        <v>572</v>
      </c>
    </row>
    <row r="179" spans="1:14" ht="18" customHeight="1" x14ac:dyDescent="0.3">
      <c r="A179" s="7" t="s">
        <v>537</v>
      </c>
      <c r="B179" s="4" t="s">
        <v>536</v>
      </c>
      <c r="C179" s="5" t="s">
        <v>406</v>
      </c>
      <c r="D179" s="6" t="s">
        <v>565</v>
      </c>
      <c r="E179" s="5" t="s">
        <v>386</v>
      </c>
      <c r="F179" s="6" t="s">
        <v>273</v>
      </c>
      <c r="G179" s="5" t="s">
        <v>368</v>
      </c>
      <c r="H179" s="5" t="s">
        <v>515</v>
      </c>
      <c r="I179" s="6" t="s">
        <v>178</v>
      </c>
      <c r="J179" s="5" t="s">
        <v>368</v>
      </c>
      <c r="K179" s="6" t="s">
        <v>178</v>
      </c>
      <c r="L179" s="5" t="s">
        <v>571</v>
      </c>
      <c r="M179" s="6" t="s">
        <v>563</v>
      </c>
      <c r="N179" s="9" t="s">
        <v>570</v>
      </c>
    </row>
    <row r="180" spans="1:14" ht="18" customHeight="1" x14ac:dyDescent="0.3">
      <c r="A180" s="7" t="s">
        <v>537</v>
      </c>
      <c r="B180" s="4" t="s">
        <v>536</v>
      </c>
      <c r="C180" s="5" t="s">
        <v>406</v>
      </c>
      <c r="D180" s="6" t="s">
        <v>565</v>
      </c>
      <c r="E180" s="5" t="s">
        <v>381</v>
      </c>
      <c r="F180" s="6" t="s">
        <v>274</v>
      </c>
      <c r="G180" s="5" t="s">
        <v>368</v>
      </c>
      <c r="H180" s="5" t="s">
        <v>515</v>
      </c>
      <c r="I180" s="6" t="s">
        <v>178</v>
      </c>
      <c r="J180" s="5" t="s">
        <v>368</v>
      </c>
      <c r="K180" s="6" t="s">
        <v>178</v>
      </c>
      <c r="L180" s="5" t="s">
        <v>569</v>
      </c>
      <c r="M180" s="6" t="s">
        <v>563</v>
      </c>
      <c r="N180" s="9" t="s">
        <v>568</v>
      </c>
    </row>
    <row r="181" spans="1:14" ht="18" customHeight="1" x14ac:dyDescent="0.3">
      <c r="A181" s="7" t="s">
        <v>537</v>
      </c>
      <c r="B181" s="4" t="s">
        <v>536</v>
      </c>
      <c r="C181" s="5" t="s">
        <v>406</v>
      </c>
      <c r="D181" s="6" t="s">
        <v>565</v>
      </c>
      <c r="E181" s="5" t="s">
        <v>369</v>
      </c>
      <c r="F181" s="6" t="s">
        <v>275</v>
      </c>
      <c r="G181" s="5" t="s">
        <v>368</v>
      </c>
      <c r="H181" s="5" t="s">
        <v>515</v>
      </c>
      <c r="I181" s="6" t="s">
        <v>178</v>
      </c>
      <c r="J181" s="5" t="s">
        <v>368</v>
      </c>
      <c r="K181" s="6" t="s">
        <v>178</v>
      </c>
      <c r="L181" s="5" t="s">
        <v>567</v>
      </c>
      <c r="M181" s="6" t="s">
        <v>563</v>
      </c>
      <c r="N181" s="9" t="s">
        <v>566</v>
      </c>
    </row>
    <row r="182" spans="1:14" ht="18" customHeight="1" x14ac:dyDescent="0.3">
      <c r="A182" s="7" t="s">
        <v>537</v>
      </c>
      <c r="B182" s="4" t="s">
        <v>536</v>
      </c>
      <c r="C182" s="5" t="s">
        <v>406</v>
      </c>
      <c r="D182" s="6" t="s">
        <v>565</v>
      </c>
      <c r="E182" s="5" t="s">
        <v>371</v>
      </c>
      <c r="F182" s="6" t="s">
        <v>276</v>
      </c>
      <c r="G182" s="5" t="s">
        <v>368</v>
      </c>
      <c r="H182" s="5" t="s">
        <v>515</v>
      </c>
      <c r="I182" s="6" t="s">
        <v>178</v>
      </c>
      <c r="J182" s="5" t="s">
        <v>368</v>
      </c>
      <c r="K182" s="6" t="s">
        <v>178</v>
      </c>
      <c r="L182" s="5" t="s">
        <v>564</v>
      </c>
      <c r="M182" s="6" t="s">
        <v>563</v>
      </c>
      <c r="N182" s="9" t="s">
        <v>562</v>
      </c>
    </row>
    <row r="183" spans="1:14" ht="18" customHeight="1" x14ac:dyDescent="0.3">
      <c r="A183" s="7" t="s">
        <v>537</v>
      </c>
      <c r="B183" s="4" t="s">
        <v>536</v>
      </c>
      <c r="C183" s="5" t="s">
        <v>402</v>
      </c>
      <c r="D183" s="6" t="s">
        <v>546</v>
      </c>
      <c r="E183" s="5" t="s">
        <v>368</v>
      </c>
      <c r="F183" s="6" t="s">
        <v>277</v>
      </c>
      <c r="G183" s="5" t="s">
        <v>368</v>
      </c>
      <c r="H183" s="5" t="s">
        <v>515</v>
      </c>
      <c r="I183" s="6" t="s">
        <v>178</v>
      </c>
      <c r="J183" s="5" t="s">
        <v>368</v>
      </c>
      <c r="K183" s="6" t="s">
        <v>178</v>
      </c>
      <c r="L183" s="5" t="s">
        <v>561</v>
      </c>
      <c r="M183" s="6" t="s">
        <v>556</v>
      </c>
      <c r="N183" s="9" t="s">
        <v>560</v>
      </c>
    </row>
    <row r="184" spans="1:14" ht="18" customHeight="1" x14ac:dyDescent="0.3">
      <c r="A184" s="7" t="s">
        <v>537</v>
      </c>
      <c r="B184" s="4" t="s">
        <v>536</v>
      </c>
      <c r="C184" s="5" t="s">
        <v>402</v>
      </c>
      <c r="D184" s="6" t="s">
        <v>546</v>
      </c>
      <c r="E184" s="5" t="s">
        <v>391</v>
      </c>
      <c r="F184" s="6" t="s">
        <v>278</v>
      </c>
      <c r="G184" s="5" t="s">
        <v>368</v>
      </c>
      <c r="H184" s="5" t="s">
        <v>515</v>
      </c>
      <c r="I184" s="6" t="s">
        <v>178</v>
      </c>
      <c r="J184" s="5" t="s">
        <v>368</v>
      </c>
      <c r="K184" s="6" t="s">
        <v>178</v>
      </c>
      <c r="L184" s="5" t="s">
        <v>559</v>
      </c>
      <c r="M184" s="6" t="s">
        <v>556</v>
      </c>
      <c r="N184" s="9" t="s">
        <v>558</v>
      </c>
    </row>
    <row r="185" spans="1:14" ht="18" customHeight="1" x14ac:dyDescent="0.3">
      <c r="A185" s="7" t="s">
        <v>537</v>
      </c>
      <c r="B185" s="4" t="s">
        <v>536</v>
      </c>
      <c r="C185" s="5" t="s">
        <v>402</v>
      </c>
      <c r="D185" s="6" t="s">
        <v>546</v>
      </c>
      <c r="E185" s="5" t="s">
        <v>379</v>
      </c>
      <c r="F185" s="6" t="s">
        <v>279</v>
      </c>
      <c r="G185" s="5" t="s">
        <v>368</v>
      </c>
      <c r="H185" s="5" t="s">
        <v>515</v>
      </c>
      <c r="I185" s="6" t="s">
        <v>178</v>
      </c>
      <c r="J185" s="5" t="s">
        <v>368</v>
      </c>
      <c r="K185" s="6" t="s">
        <v>178</v>
      </c>
      <c r="L185" s="5" t="s">
        <v>557</v>
      </c>
      <c r="M185" s="6" t="s">
        <v>556</v>
      </c>
      <c r="N185" s="9" t="s">
        <v>555</v>
      </c>
    </row>
    <row r="186" spans="1:14" ht="18" customHeight="1" x14ac:dyDescent="0.3">
      <c r="A186" s="7" t="s">
        <v>537</v>
      </c>
      <c r="B186" s="4" t="s">
        <v>536</v>
      </c>
      <c r="C186" s="3" t="s">
        <v>402</v>
      </c>
      <c r="D186" s="4" t="s">
        <v>546</v>
      </c>
      <c r="E186" s="3" t="s">
        <v>386</v>
      </c>
      <c r="F186" s="4" t="s">
        <v>280</v>
      </c>
      <c r="G186" s="3" t="s">
        <v>368</v>
      </c>
      <c r="H186" s="3" t="s">
        <v>515</v>
      </c>
      <c r="I186" s="4" t="s">
        <v>178</v>
      </c>
      <c r="J186" s="3" t="s">
        <v>368</v>
      </c>
      <c r="K186" s="4" t="s">
        <v>178</v>
      </c>
      <c r="L186" s="3" t="s">
        <v>554</v>
      </c>
      <c r="M186" s="4" t="s">
        <v>553</v>
      </c>
      <c r="N186" s="8" t="s">
        <v>552</v>
      </c>
    </row>
    <row r="187" spans="1:14" ht="18" customHeight="1" x14ac:dyDescent="0.3">
      <c r="A187" s="7" t="s">
        <v>537</v>
      </c>
      <c r="B187" s="4" t="s">
        <v>536</v>
      </c>
      <c r="C187" s="5" t="s">
        <v>402</v>
      </c>
      <c r="D187" s="6" t="s">
        <v>546</v>
      </c>
      <c r="E187" s="5" t="s">
        <v>381</v>
      </c>
      <c r="F187" s="6" t="s">
        <v>281</v>
      </c>
      <c r="G187" s="5" t="s">
        <v>368</v>
      </c>
      <c r="H187" s="5" t="s">
        <v>515</v>
      </c>
      <c r="I187" s="6" t="s">
        <v>178</v>
      </c>
      <c r="J187" s="5" t="s">
        <v>368</v>
      </c>
      <c r="K187" s="6" t="s">
        <v>178</v>
      </c>
      <c r="L187" s="5" t="s">
        <v>551</v>
      </c>
      <c r="M187" s="6" t="s">
        <v>548</v>
      </c>
      <c r="N187" s="9" t="s">
        <v>550</v>
      </c>
    </row>
    <row r="188" spans="1:14" ht="18" customHeight="1" x14ac:dyDescent="0.3">
      <c r="A188" s="7" t="s">
        <v>537</v>
      </c>
      <c r="B188" s="4" t="s">
        <v>536</v>
      </c>
      <c r="C188" s="5" t="s">
        <v>402</v>
      </c>
      <c r="D188" s="6" t="s">
        <v>546</v>
      </c>
      <c r="E188" s="5" t="s">
        <v>369</v>
      </c>
      <c r="F188" s="6" t="s">
        <v>282</v>
      </c>
      <c r="G188" s="5" t="s">
        <v>368</v>
      </c>
      <c r="H188" s="5" t="s">
        <v>515</v>
      </c>
      <c r="I188" s="6" t="s">
        <v>178</v>
      </c>
      <c r="J188" s="5" t="s">
        <v>368</v>
      </c>
      <c r="K188" s="6" t="s">
        <v>178</v>
      </c>
      <c r="L188" s="5" t="s">
        <v>549</v>
      </c>
      <c r="M188" s="6" t="s">
        <v>548</v>
      </c>
      <c r="N188" s="9" t="s">
        <v>547</v>
      </c>
    </row>
    <row r="189" spans="1:14" ht="18" customHeight="1" x14ac:dyDescent="0.3">
      <c r="A189" s="7" t="s">
        <v>537</v>
      </c>
      <c r="B189" s="4" t="s">
        <v>536</v>
      </c>
      <c r="C189" s="3" t="s">
        <v>402</v>
      </c>
      <c r="D189" s="4" t="s">
        <v>546</v>
      </c>
      <c r="E189" s="3" t="s">
        <v>371</v>
      </c>
      <c r="F189" s="4" t="s">
        <v>283</v>
      </c>
      <c r="G189" s="3" t="s">
        <v>368</v>
      </c>
      <c r="H189" s="3" t="s">
        <v>515</v>
      </c>
      <c r="I189" s="4" t="s">
        <v>178</v>
      </c>
      <c r="J189" s="3" t="s">
        <v>368</v>
      </c>
      <c r="K189" s="4" t="s">
        <v>178</v>
      </c>
      <c r="L189" s="3" t="s">
        <v>372</v>
      </c>
      <c r="M189" s="4" t="s">
        <v>283</v>
      </c>
      <c r="N189" s="8" t="s">
        <v>545</v>
      </c>
    </row>
    <row r="190" spans="1:14" ht="18" customHeight="1" x14ac:dyDescent="0.3">
      <c r="A190" s="7" t="s">
        <v>537</v>
      </c>
      <c r="B190" s="4" t="s">
        <v>536</v>
      </c>
      <c r="C190" s="3" t="s">
        <v>396</v>
      </c>
      <c r="D190" s="4" t="s">
        <v>535</v>
      </c>
      <c r="E190" s="3" t="s">
        <v>368</v>
      </c>
      <c r="F190" s="4" t="s">
        <v>284</v>
      </c>
      <c r="G190" s="3" t="s">
        <v>368</v>
      </c>
      <c r="H190" s="3" t="s">
        <v>515</v>
      </c>
      <c r="I190" s="4" t="s">
        <v>178</v>
      </c>
      <c r="J190" s="3" t="s">
        <v>368</v>
      </c>
      <c r="K190" s="4" t="s">
        <v>178</v>
      </c>
      <c r="L190" s="3" t="s">
        <v>386</v>
      </c>
      <c r="M190" s="4" t="s">
        <v>284</v>
      </c>
      <c r="N190" s="8" t="s">
        <v>544</v>
      </c>
    </row>
    <row r="191" spans="1:14" ht="18" customHeight="1" x14ac:dyDescent="0.3">
      <c r="A191" s="7" t="s">
        <v>537</v>
      </c>
      <c r="B191" s="4" t="s">
        <v>536</v>
      </c>
      <c r="C191" s="3" t="s">
        <v>396</v>
      </c>
      <c r="D191" s="4" t="s">
        <v>535</v>
      </c>
      <c r="E191" s="3" t="s">
        <v>391</v>
      </c>
      <c r="F191" s="4" t="s">
        <v>285</v>
      </c>
      <c r="G191" s="3" t="s">
        <v>368</v>
      </c>
      <c r="H191" s="3" t="s">
        <v>515</v>
      </c>
      <c r="I191" s="4" t="s">
        <v>178</v>
      </c>
      <c r="J191" s="3" t="s">
        <v>368</v>
      </c>
      <c r="K191" s="4" t="s">
        <v>178</v>
      </c>
      <c r="L191" s="3" t="s">
        <v>407</v>
      </c>
      <c r="M191" s="4" t="s">
        <v>285</v>
      </c>
      <c r="N191" s="8" t="s">
        <v>543</v>
      </c>
    </row>
    <row r="192" spans="1:14" ht="18" customHeight="1" x14ac:dyDescent="0.3">
      <c r="A192" s="7" t="s">
        <v>537</v>
      </c>
      <c r="B192" s="4" t="s">
        <v>536</v>
      </c>
      <c r="C192" s="3" t="s">
        <v>396</v>
      </c>
      <c r="D192" s="4" t="s">
        <v>535</v>
      </c>
      <c r="E192" s="3" t="s">
        <v>379</v>
      </c>
      <c r="F192" s="4" t="s">
        <v>287</v>
      </c>
      <c r="G192" s="3" t="s">
        <v>368</v>
      </c>
      <c r="H192" s="3" t="s">
        <v>515</v>
      </c>
      <c r="I192" s="4" t="s">
        <v>178</v>
      </c>
      <c r="J192" s="3" t="s">
        <v>368</v>
      </c>
      <c r="K192" s="4" t="s">
        <v>178</v>
      </c>
      <c r="L192" s="3" t="s">
        <v>542</v>
      </c>
      <c r="M192" s="4" t="s">
        <v>541</v>
      </c>
      <c r="N192" s="8" t="s">
        <v>540</v>
      </c>
    </row>
    <row r="193" spans="1:14" ht="18" customHeight="1" x14ac:dyDescent="0.3">
      <c r="A193" s="7" t="s">
        <v>537</v>
      </c>
      <c r="B193" s="4" t="s">
        <v>536</v>
      </c>
      <c r="C193" s="3" t="s">
        <v>396</v>
      </c>
      <c r="D193" s="4" t="s">
        <v>535</v>
      </c>
      <c r="E193" s="3" t="s">
        <v>386</v>
      </c>
      <c r="F193" s="4" t="s">
        <v>288</v>
      </c>
      <c r="G193" s="3" t="s">
        <v>368</v>
      </c>
      <c r="H193" s="3" t="s">
        <v>515</v>
      </c>
      <c r="I193" s="4" t="s">
        <v>178</v>
      </c>
      <c r="J193" s="3" t="s">
        <v>368</v>
      </c>
      <c r="K193" s="4" t="s">
        <v>178</v>
      </c>
      <c r="L193" s="3" t="s">
        <v>409</v>
      </c>
      <c r="M193" s="4" t="s">
        <v>539</v>
      </c>
      <c r="N193" s="8" t="s">
        <v>538</v>
      </c>
    </row>
    <row r="194" spans="1:14" ht="18" customHeight="1" x14ac:dyDescent="0.3">
      <c r="A194" s="7" t="s">
        <v>537</v>
      </c>
      <c r="B194" s="4" t="s">
        <v>536</v>
      </c>
      <c r="C194" s="3" t="s">
        <v>396</v>
      </c>
      <c r="D194" s="4" t="s">
        <v>535</v>
      </c>
      <c r="E194" s="3" t="s">
        <v>381</v>
      </c>
      <c r="F194" s="4" t="s">
        <v>289</v>
      </c>
      <c r="G194" s="3" t="s">
        <v>368</v>
      </c>
      <c r="H194" s="3" t="s">
        <v>515</v>
      </c>
      <c r="I194" s="4" t="s">
        <v>178</v>
      </c>
      <c r="J194" s="3" t="s">
        <v>368</v>
      </c>
      <c r="K194" s="4" t="s">
        <v>178</v>
      </c>
      <c r="L194" s="3" t="s">
        <v>534</v>
      </c>
      <c r="M194" s="4" t="s">
        <v>289</v>
      </c>
      <c r="N194" s="8" t="s">
        <v>533</v>
      </c>
    </row>
    <row r="195" spans="1:14" ht="18" customHeight="1" x14ac:dyDescent="0.3">
      <c r="A195" s="7" t="s">
        <v>373</v>
      </c>
      <c r="B195" s="4" t="s">
        <v>518</v>
      </c>
      <c r="C195" s="5" t="s">
        <v>380</v>
      </c>
      <c r="D195" s="6" t="s">
        <v>526</v>
      </c>
      <c r="E195" s="5" t="s">
        <v>368</v>
      </c>
      <c r="F195" s="6" t="s">
        <v>290</v>
      </c>
      <c r="G195" s="5" t="s">
        <v>368</v>
      </c>
      <c r="H195" s="5" t="s">
        <v>515</v>
      </c>
      <c r="I195" s="6" t="s">
        <v>178</v>
      </c>
      <c r="J195" s="5" t="s">
        <v>381</v>
      </c>
      <c r="K195" s="6" t="s">
        <v>531</v>
      </c>
      <c r="L195" s="5" t="s">
        <v>390</v>
      </c>
      <c r="M195" s="6" t="s">
        <v>530</v>
      </c>
      <c r="N195" s="9" t="s">
        <v>532</v>
      </c>
    </row>
    <row r="196" spans="1:14" ht="18" customHeight="1" x14ac:dyDescent="0.3">
      <c r="A196" s="7" t="s">
        <v>373</v>
      </c>
      <c r="B196" s="4" t="s">
        <v>518</v>
      </c>
      <c r="C196" s="5" t="s">
        <v>380</v>
      </c>
      <c r="D196" s="6" t="s">
        <v>526</v>
      </c>
      <c r="E196" s="5" t="s">
        <v>391</v>
      </c>
      <c r="F196" s="6" t="s">
        <v>291</v>
      </c>
      <c r="G196" s="5" t="s">
        <v>368</v>
      </c>
      <c r="H196" s="5" t="s">
        <v>515</v>
      </c>
      <c r="I196" s="6" t="s">
        <v>178</v>
      </c>
      <c r="J196" s="5" t="s">
        <v>381</v>
      </c>
      <c r="K196" s="6" t="s">
        <v>531</v>
      </c>
      <c r="L196" s="5" t="s">
        <v>388</v>
      </c>
      <c r="M196" s="6" t="s">
        <v>530</v>
      </c>
      <c r="N196" s="9" t="s">
        <v>529</v>
      </c>
    </row>
    <row r="197" spans="1:14" ht="18" customHeight="1" x14ac:dyDescent="0.3">
      <c r="A197" s="7" t="s">
        <v>373</v>
      </c>
      <c r="B197" s="4" t="s">
        <v>518</v>
      </c>
      <c r="C197" s="3" t="s">
        <v>380</v>
      </c>
      <c r="D197" s="4" t="s">
        <v>526</v>
      </c>
      <c r="E197" s="3" t="s">
        <v>379</v>
      </c>
      <c r="F197" s="4" t="s">
        <v>292</v>
      </c>
      <c r="G197" s="3" t="s">
        <v>368</v>
      </c>
      <c r="H197" s="3" t="s">
        <v>515</v>
      </c>
      <c r="I197" s="4" t="s">
        <v>178</v>
      </c>
      <c r="J197" s="3" t="s">
        <v>371</v>
      </c>
      <c r="K197" s="4" t="s">
        <v>292</v>
      </c>
      <c r="L197" s="3" t="s">
        <v>368</v>
      </c>
      <c r="M197" s="4" t="s">
        <v>528</v>
      </c>
      <c r="N197" s="8" t="s">
        <v>527</v>
      </c>
    </row>
    <row r="198" spans="1:14" ht="18" customHeight="1" x14ac:dyDescent="0.3">
      <c r="A198" s="7" t="s">
        <v>373</v>
      </c>
      <c r="B198" s="4" t="s">
        <v>518</v>
      </c>
      <c r="C198" s="3" t="s">
        <v>380</v>
      </c>
      <c r="D198" s="4" t="s">
        <v>526</v>
      </c>
      <c r="E198" s="3" t="s">
        <v>386</v>
      </c>
      <c r="F198" s="4" t="s">
        <v>293</v>
      </c>
      <c r="G198" s="3" t="s">
        <v>368</v>
      </c>
      <c r="H198" s="3" t="s">
        <v>515</v>
      </c>
      <c r="I198" s="4" t="s">
        <v>178</v>
      </c>
      <c r="J198" s="3" t="s">
        <v>377</v>
      </c>
      <c r="K198" s="4" t="s">
        <v>293</v>
      </c>
      <c r="L198" s="3" t="s">
        <v>368</v>
      </c>
      <c r="M198" s="4" t="s">
        <v>293</v>
      </c>
      <c r="N198" s="8" t="s">
        <v>525</v>
      </c>
    </row>
    <row r="199" spans="1:14" ht="18" customHeight="1" x14ac:dyDescent="0.3">
      <c r="A199" s="7" t="s">
        <v>373</v>
      </c>
      <c r="B199" s="4" t="s">
        <v>518</v>
      </c>
      <c r="C199" s="3" t="s">
        <v>517</v>
      </c>
      <c r="D199" s="4" t="s">
        <v>516</v>
      </c>
      <c r="E199" s="3" t="s">
        <v>368</v>
      </c>
      <c r="F199" s="4" t="s">
        <v>294</v>
      </c>
      <c r="G199" s="3" t="s">
        <v>368</v>
      </c>
      <c r="H199" s="3" t="s">
        <v>515</v>
      </c>
      <c r="I199" s="4" t="s">
        <v>178</v>
      </c>
      <c r="J199" s="3" t="s">
        <v>391</v>
      </c>
      <c r="K199" s="4" t="s">
        <v>418</v>
      </c>
      <c r="L199" s="3" t="s">
        <v>368</v>
      </c>
      <c r="M199" s="4" t="s">
        <v>418</v>
      </c>
      <c r="N199" s="8" t="s">
        <v>524</v>
      </c>
    </row>
    <row r="200" spans="1:14" ht="18" customHeight="1" x14ac:dyDescent="0.3">
      <c r="A200" s="7" t="s">
        <v>373</v>
      </c>
      <c r="B200" s="4" t="s">
        <v>518</v>
      </c>
      <c r="C200" s="3" t="s">
        <v>517</v>
      </c>
      <c r="D200" s="4" t="s">
        <v>516</v>
      </c>
      <c r="E200" s="3" t="s">
        <v>391</v>
      </c>
      <c r="F200" s="4" t="s">
        <v>295</v>
      </c>
      <c r="G200" s="3" t="s">
        <v>368</v>
      </c>
      <c r="H200" s="3" t="s">
        <v>515</v>
      </c>
      <c r="I200" s="4" t="s">
        <v>178</v>
      </c>
      <c r="J200" s="3" t="s">
        <v>369</v>
      </c>
      <c r="K200" s="4" t="s">
        <v>295</v>
      </c>
      <c r="L200" s="3" t="s">
        <v>368</v>
      </c>
      <c r="M200" s="4" t="s">
        <v>295</v>
      </c>
      <c r="N200" s="8" t="s">
        <v>523</v>
      </c>
    </row>
    <row r="201" spans="1:14" ht="18" customHeight="1" x14ac:dyDescent="0.3">
      <c r="A201" s="7" t="s">
        <v>373</v>
      </c>
      <c r="B201" s="4" t="s">
        <v>518</v>
      </c>
      <c r="C201" s="5" t="s">
        <v>517</v>
      </c>
      <c r="D201" s="6" t="s">
        <v>516</v>
      </c>
      <c r="E201" s="5" t="s">
        <v>379</v>
      </c>
      <c r="F201" s="6" t="s">
        <v>296</v>
      </c>
      <c r="G201" s="5" t="s">
        <v>368</v>
      </c>
      <c r="H201" s="5" t="s">
        <v>515</v>
      </c>
      <c r="I201" s="6" t="s">
        <v>178</v>
      </c>
      <c r="J201" s="5" t="s">
        <v>407</v>
      </c>
      <c r="K201" s="6" t="s">
        <v>521</v>
      </c>
      <c r="L201" s="5" t="s">
        <v>390</v>
      </c>
      <c r="M201" s="6" t="s">
        <v>520</v>
      </c>
      <c r="N201" s="9" t="s">
        <v>522</v>
      </c>
    </row>
    <row r="202" spans="1:14" ht="18" customHeight="1" x14ac:dyDescent="0.3">
      <c r="A202" s="7" t="s">
        <v>373</v>
      </c>
      <c r="B202" s="4" t="s">
        <v>518</v>
      </c>
      <c r="C202" s="5" t="s">
        <v>517</v>
      </c>
      <c r="D202" s="6" t="s">
        <v>516</v>
      </c>
      <c r="E202" s="5" t="s">
        <v>386</v>
      </c>
      <c r="F202" s="6" t="s">
        <v>297</v>
      </c>
      <c r="G202" s="5" t="s">
        <v>368</v>
      </c>
      <c r="H202" s="5" t="s">
        <v>515</v>
      </c>
      <c r="I202" s="6" t="s">
        <v>178</v>
      </c>
      <c r="J202" s="5" t="s">
        <v>407</v>
      </c>
      <c r="K202" s="6" t="s">
        <v>521</v>
      </c>
      <c r="L202" s="5" t="s">
        <v>388</v>
      </c>
      <c r="M202" s="6" t="s">
        <v>520</v>
      </c>
      <c r="N202" s="9" t="s">
        <v>519</v>
      </c>
    </row>
    <row r="203" spans="1:14" ht="18" customHeight="1" x14ac:dyDescent="0.3">
      <c r="A203" s="7" t="s">
        <v>373</v>
      </c>
      <c r="B203" s="4" t="s">
        <v>518</v>
      </c>
      <c r="C203" s="3" t="s">
        <v>517</v>
      </c>
      <c r="D203" s="4" t="s">
        <v>516</v>
      </c>
      <c r="E203" s="3" t="s">
        <v>381</v>
      </c>
      <c r="F203" s="4" t="s">
        <v>298</v>
      </c>
      <c r="G203" s="3" t="s">
        <v>368</v>
      </c>
      <c r="H203" s="3" t="s">
        <v>515</v>
      </c>
      <c r="I203" s="4" t="s">
        <v>178</v>
      </c>
      <c r="J203" s="3" t="s">
        <v>375</v>
      </c>
      <c r="K203" s="4" t="s">
        <v>298</v>
      </c>
      <c r="L203" s="3" t="s">
        <v>368</v>
      </c>
      <c r="M203" s="4" t="s">
        <v>298</v>
      </c>
      <c r="N203" s="8" t="s">
        <v>514</v>
      </c>
    </row>
    <row r="204" spans="1:14" ht="18" customHeight="1" x14ac:dyDescent="0.3">
      <c r="A204" s="7" t="s">
        <v>373</v>
      </c>
      <c r="B204" s="4" t="s">
        <v>172</v>
      </c>
      <c r="C204" s="3" t="s">
        <v>502</v>
      </c>
      <c r="D204" s="4" t="s">
        <v>172</v>
      </c>
      <c r="E204" s="3" t="s">
        <v>368</v>
      </c>
      <c r="F204" s="4" t="s">
        <v>172</v>
      </c>
      <c r="G204" s="3" t="s">
        <v>368</v>
      </c>
      <c r="H204" s="3" t="s">
        <v>370</v>
      </c>
      <c r="I204" s="4" t="s">
        <v>172</v>
      </c>
      <c r="J204" s="3" t="s">
        <v>379</v>
      </c>
      <c r="K204" s="4" t="s">
        <v>172</v>
      </c>
      <c r="L204" s="3" t="s">
        <v>368</v>
      </c>
      <c r="M204" s="4" t="s">
        <v>513</v>
      </c>
      <c r="N204" s="8" t="s">
        <v>512</v>
      </c>
    </row>
    <row r="205" spans="1:14" ht="18" customHeight="1" x14ac:dyDescent="0.3">
      <c r="A205" s="7" t="s">
        <v>373</v>
      </c>
      <c r="B205" s="4" t="s">
        <v>172</v>
      </c>
      <c r="C205" s="3" t="s">
        <v>502</v>
      </c>
      <c r="D205" s="4" t="s">
        <v>172</v>
      </c>
      <c r="E205" s="3" t="s">
        <v>391</v>
      </c>
      <c r="F205" s="4" t="s">
        <v>299</v>
      </c>
      <c r="G205" s="3" t="s">
        <v>368</v>
      </c>
      <c r="H205" s="3" t="s">
        <v>370</v>
      </c>
      <c r="I205" s="4" t="s">
        <v>172</v>
      </c>
      <c r="J205" s="3" t="s">
        <v>386</v>
      </c>
      <c r="K205" s="4" t="s">
        <v>299</v>
      </c>
      <c r="L205" s="3" t="s">
        <v>368</v>
      </c>
      <c r="M205" s="4" t="s">
        <v>511</v>
      </c>
      <c r="N205" s="8" t="s">
        <v>510</v>
      </c>
    </row>
    <row r="206" spans="1:14" ht="18" customHeight="1" x14ac:dyDescent="0.3">
      <c r="A206" s="7" t="s">
        <v>373</v>
      </c>
      <c r="B206" s="4" t="s">
        <v>172</v>
      </c>
      <c r="C206" s="3" t="s">
        <v>502</v>
      </c>
      <c r="D206" s="4" t="s">
        <v>172</v>
      </c>
      <c r="E206" s="3" t="s">
        <v>379</v>
      </c>
      <c r="F206" s="4" t="s">
        <v>300</v>
      </c>
      <c r="G206" s="3" t="s">
        <v>368</v>
      </c>
      <c r="H206" s="3" t="s">
        <v>370</v>
      </c>
      <c r="I206" s="4" t="s">
        <v>172</v>
      </c>
      <c r="J206" s="3" t="s">
        <v>368</v>
      </c>
      <c r="K206" s="4" t="s">
        <v>505</v>
      </c>
      <c r="L206" s="3" t="s">
        <v>368</v>
      </c>
      <c r="M206" s="4" t="s">
        <v>509</v>
      </c>
      <c r="N206" s="8" t="s">
        <v>508</v>
      </c>
    </row>
    <row r="207" spans="1:14" ht="18" customHeight="1" x14ac:dyDescent="0.3">
      <c r="A207" s="7" t="s">
        <v>373</v>
      </c>
      <c r="B207" s="4" t="s">
        <v>172</v>
      </c>
      <c r="C207" s="3" t="s">
        <v>502</v>
      </c>
      <c r="D207" s="4" t="s">
        <v>172</v>
      </c>
      <c r="E207" s="3" t="s">
        <v>386</v>
      </c>
      <c r="F207" s="4" t="s">
        <v>301</v>
      </c>
      <c r="G207" s="3" t="s">
        <v>368</v>
      </c>
      <c r="H207" s="3" t="s">
        <v>370</v>
      </c>
      <c r="I207" s="4" t="s">
        <v>172</v>
      </c>
      <c r="J207" s="3" t="s">
        <v>368</v>
      </c>
      <c r="K207" s="4" t="s">
        <v>505</v>
      </c>
      <c r="L207" s="3" t="s">
        <v>430</v>
      </c>
      <c r="M207" s="4" t="s">
        <v>507</v>
      </c>
      <c r="N207" s="8" t="s">
        <v>506</v>
      </c>
    </row>
    <row r="208" spans="1:14" ht="18" customHeight="1" x14ac:dyDescent="0.3">
      <c r="A208" s="7" t="s">
        <v>373</v>
      </c>
      <c r="B208" s="4" t="s">
        <v>172</v>
      </c>
      <c r="C208" s="3" t="s">
        <v>502</v>
      </c>
      <c r="D208" s="4" t="s">
        <v>172</v>
      </c>
      <c r="E208" s="3" t="s">
        <v>381</v>
      </c>
      <c r="F208" s="4" t="s">
        <v>302</v>
      </c>
      <c r="G208" s="3" t="s">
        <v>368</v>
      </c>
      <c r="H208" s="3" t="s">
        <v>370</v>
      </c>
      <c r="I208" s="4" t="s">
        <v>172</v>
      </c>
      <c r="J208" s="3" t="s">
        <v>368</v>
      </c>
      <c r="K208" s="4" t="s">
        <v>505</v>
      </c>
      <c r="L208" s="3" t="s">
        <v>407</v>
      </c>
      <c r="M208" s="4" t="s">
        <v>504</v>
      </c>
      <c r="N208" s="8" t="s">
        <v>503</v>
      </c>
    </row>
    <row r="209" spans="1:14" ht="18" customHeight="1" x14ac:dyDescent="0.3">
      <c r="A209" s="7" t="s">
        <v>373</v>
      </c>
      <c r="B209" s="4" t="s">
        <v>172</v>
      </c>
      <c r="C209" s="3" t="s">
        <v>502</v>
      </c>
      <c r="D209" s="4" t="s">
        <v>172</v>
      </c>
      <c r="E209" s="3" t="s">
        <v>369</v>
      </c>
      <c r="F209" s="4" t="s">
        <v>206</v>
      </c>
      <c r="G209" s="3" t="s">
        <v>368</v>
      </c>
      <c r="H209" s="3" t="s">
        <v>370</v>
      </c>
      <c r="I209" s="4" t="s">
        <v>172</v>
      </c>
      <c r="J209" s="3" t="s">
        <v>381</v>
      </c>
      <c r="K209" s="4" t="s">
        <v>206</v>
      </c>
      <c r="L209" s="3" t="s">
        <v>368</v>
      </c>
      <c r="M209" s="4" t="s">
        <v>206</v>
      </c>
      <c r="N209" s="8" t="s">
        <v>501</v>
      </c>
    </row>
    <row r="210" spans="1:14" ht="18" customHeight="1" x14ac:dyDescent="0.3">
      <c r="A210" s="7" t="s">
        <v>373</v>
      </c>
      <c r="B210" s="4" t="s">
        <v>497</v>
      </c>
      <c r="C210" s="5" t="s">
        <v>499</v>
      </c>
      <c r="D210" s="6" t="s">
        <v>497</v>
      </c>
      <c r="E210" s="5" t="s">
        <v>368</v>
      </c>
      <c r="F210" s="6" t="s">
        <v>303</v>
      </c>
      <c r="G210" s="5" t="s">
        <v>368</v>
      </c>
      <c r="H210" s="5" t="s">
        <v>498</v>
      </c>
      <c r="I210" s="6" t="s">
        <v>497</v>
      </c>
      <c r="J210" s="5" t="s">
        <v>368</v>
      </c>
      <c r="K210" s="6" t="s">
        <v>496</v>
      </c>
      <c r="L210" s="5" t="s">
        <v>390</v>
      </c>
      <c r="M210" s="6" t="s">
        <v>496</v>
      </c>
      <c r="N210" s="9" t="s">
        <v>500</v>
      </c>
    </row>
    <row r="211" spans="1:14" ht="18" customHeight="1" x14ac:dyDescent="0.3">
      <c r="A211" s="7" t="s">
        <v>373</v>
      </c>
      <c r="B211" s="4" t="s">
        <v>497</v>
      </c>
      <c r="C211" s="5" t="s">
        <v>499</v>
      </c>
      <c r="D211" s="6" t="s">
        <v>497</v>
      </c>
      <c r="E211" s="5" t="s">
        <v>391</v>
      </c>
      <c r="F211" s="6" t="s">
        <v>304</v>
      </c>
      <c r="G211" s="5" t="s">
        <v>368</v>
      </c>
      <c r="H211" s="5" t="s">
        <v>498</v>
      </c>
      <c r="I211" s="6" t="s">
        <v>497</v>
      </c>
      <c r="J211" s="5" t="s">
        <v>368</v>
      </c>
      <c r="K211" s="6" t="s">
        <v>496</v>
      </c>
      <c r="L211" s="5" t="s">
        <v>388</v>
      </c>
      <c r="M211" s="6" t="s">
        <v>496</v>
      </c>
      <c r="N211" s="9" t="s">
        <v>495</v>
      </c>
    </row>
    <row r="212" spans="1:14" ht="18" customHeight="1" x14ac:dyDescent="0.3">
      <c r="A212" s="7" t="s">
        <v>373</v>
      </c>
      <c r="B212" s="4" t="s">
        <v>489</v>
      </c>
      <c r="C212" s="3" t="s">
        <v>491</v>
      </c>
      <c r="D212" s="4" t="s">
        <v>489</v>
      </c>
      <c r="E212" s="3" t="s">
        <v>368</v>
      </c>
      <c r="F212" s="4" t="s">
        <v>305</v>
      </c>
      <c r="G212" s="3" t="s">
        <v>368</v>
      </c>
      <c r="H212" s="3" t="s">
        <v>490</v>
      </c>
      <c r="I212" s="4" t="s">
        <v>489</v>
      </c>
      <c r="J212" s="3" t="s">
        <v>391</v>
      </c>
      <c r="K212" s="4" t="s">
        <v>305</v>
      </c>
      <c r="L212" s="3" t="s">
        <v>368</v>
      </c>
      <c r="M212" s="4" t="s">
        <v>494</v>
      </c>
      <c r="N212" s="8" t="s">
        <v>493</v>
      </c>
    </row>
    <row r="213" spans="1:14" ht="18" customHeight="1" x14ac:dyDescent="0.3">
      <c r="A213" s="7" t="s">
        <v>373</v>
      </c>
      <c r="B213" s="4" t="s">
        <v>489</v>
      </c>
      <c r="C213" s="3" t="s">
        <v>491</v>
      </c>
      <c r="D213" s="4" t="s">
        <v>489</v>
      </c>
      <c r="E213" s="3" t="s">
        <v>391</v>
      </c>
      <c r="F213" s="4" t="s">
        <v>306</v>
      </c>
      <c r="G213" s="3" t="s">
        <v>368</v>
      </c>
      <c r="H213" s="3" t="s">
        <v>490</v>
      </c>
      <c r="I213" s="4" t="s">
        <v>489</v>
      </c>
      <c r="J213" s="3" t="s">
        <v>379</v>
      </c>
      <c r="K213" s="4" t="s">
        <v>306</v>
      </c>
      <c r="L213" s="3" t="s">
        <v>368</v>
      </c>
      <c r="M213" s="4" t="s">
        <v>306</v>
      </c>
      <c r="N213" s="8" t="s">
        <v>492</v>
      </c>
    </row>
    <row r="214" spans="1:14" ht="18" customHeight="1" x14ac:dyDescent="0.3">
      <c r="A214" s="7" t="s">
        <v>373</v>
      </c>
      <c r="B214" s="4" t="s">
        <v>489</v>
      </c>
      <c r="C214" s="3" t="s">
        <v>491</v>
      </c>
      <c r="D214" s="4" t="s">
        <v>489</v>
      </c>
      <c r="E214" s="3" t="s">
        <v>379</v>
      </c>
      <c r="F214" s="4" t="s">
        <v>307</v>
      </c>
      <c r="G214" s="3" t="s">
        <v>368</v>
      </c>
      <c r="H214" s="3" t="s">
        <v>490</v>
      </c>
      <c r="I214" s="4" t="s">
        <v>489</v>
      </c>
      <c r="J214" s="3" t="s">
        <v>368</v>
      </c>
      <c r="K214" s="4" t="s">
        <v>307</v>
      </c>
      <c r="L214" s="3" t="s">
        <v>368</v>
      </c>
      <c r="M214" s="4" t="s">
        <v>489</v>
      </c>
      <c r="N214" s="8" t="s">
        <v>488</v>
      </c>
    </row>
    <row r="215" spans="1:14" ht="18" customHeight="1" x14ac:dyDescent="0.3">
      <c r="A215" s="7" t="s">
        <v>373</v>
      </c>
      <c r="B215" s="4" t="s">
        <v>187</v>
      </c>
      <c r="C215" s="3" t="s">
        <v>479</v>
      </c>
      <c r="D215" s="4" t="s">
        <v>187</v>
      </c>
      <c r="E215" s="3" t="s">
        <v>368</v>
      </c>
      <c r="F215" s="4" t="s">
        <v>308</v>
      </c>
      <c r="G215" s="3" t="s">
        <v>368</v>
      </c>
      <c r="H215" s="3" t="s">
        <v>478</v>
      </c>
      <c r="I215" s="4" t="s">
        <v>187</v>
      </c>
      <c r="J215" s="3" t="s">
        <v>391</v>
      </c>
      <c r="K215" s="4" t="s">
        <v>308</v>
      </c>
      <c r="L215" s="3" t="s">
        <v>368</v>
      </c>
      <c r="M215" s="4" t="s">
        <v>487</v>
      </c>
      <c r="N215" s="8" t="s">
        <v>486</v>
      </c>
    </row>
    <row r="216" spans="1:14" ht="18" customHeight="1" x14ac:dyDescent="0.3">
      <c r="A216" s="7" t="s">
        <v>373</v>
      </c>
      <c r="B216" s="4" t="s">
        <v>187</v>
      </c>
      <c r="C216" s="3" t="s">
        <v>479</v>
      </c>
      <c r="D216" s="4" t="s">
        <v>187</v>
      </c>
      <c r="E216" s="3" t="s">
        <v>391</v>
      </c>
      <c r="F216" s="4" t="s">
        <v>309</v>
      </c>
      <c r="G216" s="3" t="s">
        <v>368</v>
      </c>
      <c r="H216" s="3" t="s">
        <v>478</v>
      </c>
      <c r="I216" s="4" t="s">
        <v>187</v>
      </c>
      <c r="J216" s="3" t="s">
        <v>379</v>
      </c>
      <c r="K216" s="4" t="s">
        <v>483</v>
      </c>
      <c r="L216" s="3" t="s">
        <v>368</v>
      </c>
      <c r="M216" s="4" t="s">
        <v>483</v>
      </c>
      <c r="N216" s="8" t="s">
        <v>485</v>
      </c>
    </row>
    <row r="217" spans="1:14" ht="18" customHeight="1" x14ac:dyDescent="0.3">
      <c r="A217" s="7" t="s">
        <v>373</v>
      </c>
      <c r="B217" s="4" t="s">
        <v>187</v>
      </c>
      <c r="C217" s="3" t="s">
        <v>479</v>
      </c>
      <c r="D217" s="4" t="s">
        <v>187</v>
      </c>
      <c r="E217" s="3" t="s">
        <v>379</v>
      </c>
      <c r="F217" s="4" t="s">
        <v>484</v>
      </c>
      <c r="G217" s="3" t="s">
        <v>368</v>
      </c>
      <c r="H217" s="3" t="s">
        <v>478</v>
      </c>
      <c r="I217" s="4" t="s">
        <v>187</v>
      </c>
      <c r="J217" s="3" t="s">
        <v>379</v>
      </c>
      <c r="K217" s="4" t="s">
        <v>483</v>
      </c>
      <c r="L217" s="3" t="s">
        <v>369</v>
      </c>
      <c r="M217" s="4" t="s">
        <v>482</v>
      </c>
      <c r="N217" s="8" t="s">
        <v>481</v>
      </c>
    </row>
    <row r="218" spans="1:14" ht="18" customHeight="1" x14ac:dyDescent="0.3">
      <c r="A218" s="7" t="s">
        <v>373</v>
      </c>
      <c r="B218" s="4" t="s">
        <v>187</v>
      </c>
      <c r="C218" s="5" t="s">
        <v>479</v>
      </c>
      <c r="D218" s="6" t="s">
        <v>187</v>
      </c>
      <c r="E218" s="5" t="s">
        <v>386</v>
      </c>
      <c r="F218" s="6" t="s">
        <v>311</v>
      </c>
      <c r="G218" s="5" t="s">
        <v>368</v>
      </c>
      <c r="H218" s="5" t="s">
        <v>478</v>
      </c>
      <c r="I218" s="6" t="s">
        <v>187</v>
      </c>
      <c r="J218" s="5" t="s">
        <v>368</v>
      </c>
      <c r="K218" s="6" t="s">
        <v>187</v>
      </c>
      <c r="L218" s="5" t="s">
        <v>390</v>
      </c>
      <c r="M218" s="6" t="s">
        <v>477</v>
      </c>
      <c r="N218" s="9" t="s">
        <v>480</v>
      </c>
    </row>
    <row r="219" spans="1:14" ht="18" customHeight="1" x14ac:dyDescent="0.3">
      <c r="A219" s="7" t="s">
        <v>373</v>
      </c>
      <c r="B219" s="4" t="s">
        <v>187</v>
      </c>
      <c r="C219" s="5" t="s">
        <v>479</v>
      </c>
      <c r="D219" s="6" t="s">
        <v>187</v>
      </c>
      <c r="E219" s="5" t="s">
        <v>381</v>
      </c>
      <c r="F219" s="6" t="s">
        <v>312</v>
      </c>
      <c r="G219" s="5" t="s">
        <v>368</v>
      </c>
      <c r="H219" s="5" t="s">
        <v>478</v>
      </c>
      <c r="I219" s="6" t="s">
        <v>187</v>
      </c>
      <c r="J219" s="5" t="s">
        <v>368</v>
      </c>
      <c r="K219" s="6" t="s">
        <v>187</v>
      </c>
      <c r="L219" s="5" t="s">
        <v>388</v>
      </c>
      <c r="M219" s="6" t="s">
        <v>477</v>
      </c>
      <c r="N219" s="9" t="s">
        <v>476</v>
      </c>
    </row>
    <row r="220" spans="1:14" ht="18" customHeight="1" x14ac:dyDescent="0.3">
      <c r="A220" s="7" t="s">
        <v>373</v>
      </c>
      <c r="B220" s="4" t="s">
        <v>456</v>
      </c>
      <c r="C220" s="3" t="s">
        <v>458</v>
      </c>
      <c r="D220" s="4" t="s">
        <v>456</v>
      </c>
      <c r="E220" s="3" t="s">
        <v>368</v>
      </c>
      <c r="F220" s="4" t="s">
        <v>313</v>
      </c>
      <c r="G220" s="3" t="s">
        <v>368</v>
      </c>
      <c r="H220" s="3" t="s">
        <v>457</v>
      </c>
      <c r="I220" s="4" t="s">
        <v>456</v>
      </c>
      <c r="J220" s="3" t="s">
        <v>391</v>
      </c>
      <c r="K220" s="4" t="s">
        <v>313</v>
      </c>
      <c r="L220" s="3" t="s">
        <v>368</v>
      </c>
      <c r="M220" s="4" t="s">
        <v>313</v>
      </c>
      <c r="N220" s="8" t="s">
        <v>475</v>
      </c>
    </row>
    <row r="221" spans="1:14" ht="18" customHeight="1" x14ac:dyDescent="0.3">
      <c r="A221" s="7" t="s">
        <v>373</v>
      </c>
      <c r="B221" s="4" t="s">
        <v>456</v>
      </c>
      <c r="C221" s="3" t="s">
        <v>458</v>
      </c>
      <c r="D221" s="4" t="s">
        <v>456</v>
      </c>
      <c r="E221" s="3" t="s">
        <v>391</v>
      </c>
      <c r="F221" s="4" t="s">
        <v>314</v>
      </c>
      <c r="G221" s="3" t="s">
        <v>368</v>
      </c>
      <c r="H221" s="3" t="s">
        <v>457</v>
      </c>
      <c r="I221" s="4" t="s">
        <v>456</v>
      </c>
      <c r="J221" s="3" t="s">
        <v>379</v>
      </c>
      <c r="K221" s="4" t="s">
        <v>314</v>
      </c>
      <c r="L221" s="3" t="s">
        <v>368</v>
      </c>
      <c r="M221" s="4" t="s">
        <v>314</v>
      </c>
      <c r="N221" s="8" t="s">
        <v>474</v>
      </c>
    </row>
    <row r="222" spans="1:14" ht="18" customHeight="1" x14ac:dyDescent="0.3">
      <c r="A222" s="7" t="s">
        <v>373</v>
      </c>
      <c r="B222" s="4" t="s">
        <v>456</v>
      </c>
      <c r="C222" s="3" t="s">
        <v>458</v>
      </c>
      <c r="D222" s="4" t="s">
        <v>456</v>
      </c>
      <c r="E222" s="3" t="s">
        <v>379</v>
      </c>
      <c r="F222" s="4" t="s">
        <v>315</v>
      </c>
      <c r="G222" s="3" t="s">
        <v>368</v>
      </c>
      <c r="H222" s="3" t="s">
        <v>457</v>
      </c>
      <c r="I222" s="4" t="s">
        <v>456</v>
      </c>
      <c r="J222" s="3" t="s">
        <v>386</v>
      </c>
      <c r="K222" s="4" t="s">
        <v>471</v>
      </c>
      <c r="L222" s="3" t="s">
        <v>368</v>
      </c>
      <c r="M222" s="4" t="s">
        <v>473</v>
      </c>
      <c r="N222" s="8" t="s">
        <v>472</v>
      </c>
    </row>
    <row r="223" spans="1:14" ht="18" customHeight="1" x14ac:dyDescent="0.3">
      <c r="A223" s="7" t="s">
        <v>373</v>
      </c>
      <c r="B223" s="4" t="s">
        <v>456</v>
      </c>
      <c r="C223" s="3" t="s">
        <v>458</v>
      </c>
      <c r="D223" s="4" t="s">
        <v>456</v>
      </c>
      <c r="E223" s="3" t="s">
        <v>386</v>
      </c>
      <c r="F223" s="4" t="s">
        <v>316</v>
      </c>
      <c r="G223" s="3" t="s">
        <v>368</v>
      </c>
      <c r="H223" s="3" t="s">
        <v>457</v>
      </c>
      <c r="I223" s="4" t="s">
        <v>456</v>
      </c>
      <c r="J223" s="3" t="s">
        <v>386</v>
      </c>
      <c r="K223" s="4" t="s">
        <v>471</v>
      </c>
      <c r="L223" s="3" t="s">
        <v>381</v>
      </c>
      <c r="M223" s="4" t="s">
        <v>471</v>
      </c>
      <c r="N223" s="8" t="s">
        <v>470</v>
      </c>
    </row>
    <row r="224" spans="1:14" ht="18" customHeight="1" x14ac:dyDescent="0.3">
      <c r="A224" s="7" t="s">
        <v>373</v>
      </c>
      <c r="B224" s="4" t="s">
        <v>456</v>
      </c>
      <c r="C224" s="3" t="s">
        <v>458</v>
      </c>
      <c r="D224" s="4" t="s">
        <v>456</v>
      </c>
      <c r="E224" s="3" t="s">
        <v>381</v>
      </c>
      <c r="F224" s="4" t="s">
        <v>317</v>
      </c>
      <c r="G224" s="3" t="s">
        <v>368</v>
      </c>
      <c r="H224" s="3" t="s">
        <v>457</v>
      </c>
      <c r="I224" s="4" t="s">
        <v>456</v>
      </c>
      <c r="J224" s="3" t="s">
        <v>381</v>
      </c>
      <c r="K224" s="4" t="s">
        <v>317</v>
      </c>
      <c r="L224" s="3" t="s">
        <v>368</v>
      </c>
      <c r="M224" s="4" t="s">
        <v>317</v>
      </c>
      <c r="N224" s="8" t="s">
        <v>469</v>
      </c>
    </row>
    <row r="225" spans="1:14" ht="18" customHeight="1" x14ac:dyDescent="0.3">
      <c r="A225" s="7" t="s">
        <v>373</v>
      </c>
      <c r="B225" s="4" t="s">
        <v>456</v>
      </c>
      <c r="C225" s="5" t="s">
        <v>458</v>
      </c>
      <c r="D225" s="6" t="s">
        <v>456</v>
      </c>
      <c r="E225" s="5" t="s">
        <v>369</v>
      </c>
      <c r="F225" s="6" t="s">
        <v>318</v>
      </c>
      <c r="G225" s="5" t="s">
        <v>368</v>
      </c>
      <c r="H225" s="5" t="s">
        <v>457</v>
      </c>
      <c r="I225" s="6" t="s">
        <v>456</v>
      </c>
      <c r="J225" s="5" t="s">
        <v>368</v>
      </c>
      <c r="K225" s="6" t="s">
        <v>456</v>
      </c>
      <c r="L225" s="5" t="s">
        <v>390</v>
      </c>
      <c r="M225" s="6" t="s">
        <v>456</v>
      </c>
      <c r="N225" s="9" t="s">
        <v>468</v>
      </c>
    </row>
    <row r="226" spans="1:14" ht="18" customHeight="1" x14ac:dyDescent="0.3">
      <c r="A226" s="7" t="s">
        <v>373</v>
      </c>
      <c r="B226" s="4" t="s">
        <v>456</v>
      </c>
      <c r="C226" s="5" t="s">
        <v>458</v>
      </c>
      <c r="D226" s="6" t="s">
        <v>456</v>
      </c>
      <c r="E226" s="5" t="s">
        <v>371</v>
      </c>
      <c r="F226" s="6" t="s">
        <v>319</v>
      </c>
      <c r="G226" s="5" t="s">
        <v>368</v>
      </c>
      <c r="H226" s="5" t="s">
        <v>457</v>
      </c>
      <c r="I226" s="6" t="s">
        <v>456</v>
      </c>
      <c r="J226" s="5" t="s">
        <v>368</v>
      </c>
      <c r="K226" s="6" t="s">
        <v>456</v>
      </c>
      <c r="L226" s="5" t="s">
        <v>388</v>
      </c>
      <c r="M226" s="6" t="s">
        <v>456</v>
      </c>
      <c r="N226" s="9" t="s">
        <v>467</v>
      </c>
    </row>
    <row r="227" spans="1:14" ht="18" customHeight="1" x14ac:dyDescent="0.3">
      <c r="A227" s="7" t="s">
        <v>373</v>
      </c>
      <c r="B227" s="4" t="s">
        <v>456</v>
      </c>
      <c r="C227" s="5" t="s">
        <v>458</v>
      </c>
      <c r="D227" s="6" t="s">
        <v>456</v>
      </c>
      <c r="E227" s="5" t="s">
        <v>407</v>
      </c>
      <c r="F227" s="6" t="s">
        <v>320</v>
      </c>
      <c r="G227" s="5" t="s">
        <v>368</v>
      </c>
      <c r="H227" s="5" t="s">
        <v>457</v>
      </c>
      <c r="I227" s="6" t="s">
        <v>456</v>
      </c>
      <c r="J227" s="5" t="s">
        <v>368</v>
      </c>
      <c r="K227" s="6" t="s">
        <v>456</v>
      </c>
      <c r="L227" s="5" t="s">
        <v>466</v>
      </c>
      <c r="M227" s="6" t="s">
        <v>456</v>
      </c>
      <c r="N227" s="9" t="s">
        <v>465</v>
      </c>
    </row>
    <row r="228" spans="1:14" ht="18" customHeight="1" x14ac:dyDescent="0.3">
      <c r="A228" s="7" t="s">
        <v>373</v>
      </c>
      <c r="B228" s="4" t="s">
        <v>456</v>
      </c>
      <c r="C228" s="5" t="s">
        <v>458</v>
      </c>
      <c r="D228" s="6" t="s">
        <v>456</v>
      </c>
      <c r="E228" s="5" t="s">
        <v>375</v>
      </c>
      <c r="F228" s="6" t="s">
        <v>321</v>
      </c>
      <c r="G228" s="5" t="s">
        <v>368</v>
      </c>
      <c r="H228" s="5" t="s">
        <v>457</v>
      </c>
      <c r="I228" s="6" t="s">
        <v>456</v>
      </c>
      <c r="J228" s="5" t="s">
        <v>368</v>
      </c>
      <c r="K228" s="6" t="s">
        <v>456</v>
      </c>
      <c r="L228" s="5" t="s">
        <v>464</v>
      </c>
      <c r="M228" s="6" t="s">
        <v>456</v>
      </c>
      <c r="N228" s="9" t="s">
        <v>463</v>
      </c>
    </row>
    <row r="229" spans="1:14" ht="18" customHeight="1" x14ac:dyDescent="0.3">
      <c r="A229" s="7" t="s">
        <v>373</v>
      </c>
      <c r="B229" s="4" t="s">
        <v>456</v>
      </c>
      <c r="C229" s="3" t="s">
        <v>458</v>
      </c>
      <c r="D229" s="4" t="s">
        <v>456</v>
      </c>
      <c r="E229" s="3" t="s">
        <v>377</v>
      </c>
      <c r="F229" s="4" t="s">
        <v>322</v>
      </c>
      <c r="G229" s="3" t="s">
        <v>368</v>
      </c>
      <c r="H229" s="3" t="s">
        <v>457</v>
      </c>
      <c r="I229" s="4" t="s">
        <v>456</v>
      </c>
      <c r="J229" s="3" t="s">
        <v>407</v>
      </c>
      <c r="K229" s="4" t="s">
        <v>322</v>
      </c>
      <c r="L229" s="3" t="s">
        <v>368</v>
      </c>
      <c r="M229" s="4" t="s">
        <v>322</v>
      </c>
      <c r="N229" s="8" t="s">
        <v>462</v>
      </c>
    </row>
    <row r="230" spans="1:14" ht="18" customHeight="1" x14ac:dyDescent="0.3">
      <c r="A230" s="7" t="s">
        <v>373</v>
      </c>
      <c r="B230" s="4" t="s">
        <v>456</v>
      </c>
      <c r="C230" s="5" t="s">
        <v>458</v>
      </c>
      <c r="D230" s="6" t="s">
        <v>456</v>
      </c>
      <c r="E230" s="5" t="s">
        <v>435</v>
      </c>
      <c r="F230" s="6" t="s">
        <v>323</v>
      </c>
      <c r="G230" s="5" t="s">
        <v>368</v>
      </c>
      <c r="H230" s="5" t="s">
        <v>457</v>
      </c>
      <c r="I230" s="6" t="s">
        <v>456</v>
      </c>
      <c r="J230" s="5" t="s">
        <v>369</v>
      </c>
      <c r="K230" s="6" t="s">
        <v>460</v>
      </c>
      <c r="L230" s="5" t="s">
        <v>390</v>
      </c>
      <c r="M230" s="6" t="s">
        <v>460</v>
      </c>
      <c r="N230" s="9" t="s">
        <v>461</v>
      </c>
    </row>
    <row r="231" spans="1:14" ht="18" customHeight="1" x14ac:dyDescent="0.3">
      <c r="A231" s="7" t="s">
        <v>373</v>
      </c>
      <c r="B231" s="4" t="s">
        <v>456</v>
      </c>
      <c r="C231" s="5" t="s">
        <v>458</v>
      </c>
      <c r="D231" s="6" t="s">
        <v>456</v>
      </c>
      <c r="E231" s="5" t="s">
        <v>432</v>
      </c>
      <c r="F231" s="6" t="s">
        <v>324</v>
      </c>
      <c r="G231" s="5" t="s">
        <v>368</v>
      </c>
      <c r="H231" s="5" t="s">
        <v>457</v>
      </c>
      <c r="I231" s="6" t="s">
        <v>456</v>
      </c>
      <c r="J231" s="5" t="s">
        <v>369</v>
      </c>
      <c r="K231" s="6" t="s">
        <v>460</v>
      </c>
      <c r="L231" s="5" t="s">
        <v>388</v>
      </c>
      <c r="M231" s="6" t="s">
        <v>460</v>
      </c>
      <c r="N231" s="9" t="s">
        <v>459</v>
      </c>
    </row>
    <row r="232" spans="1:14" ht="18" customHeight="1" x14ac:dyDescent="0.3">
      <c r="A232" s="7" t="s">
        <v>373</v>
      </c>
      <c r="B232" s="4" t="s">
        <v>456</v>
      </c>
      <c r="C232" s="3" t="s">
        <v>458</v>
      </c>
      <c r="D232" s="4" t="s">
        <v>456</v>
      </c>
      <c r="E232" s="3" t="s">
        <v>430</v>
      </c>
      <c r="F232" s="4" t="s">
        <v>325</v>
      </c>
      <c r="G232" s="3" t="s">
        <v>368</v>
      </c>
      <c r="H232" s="3" t="s">
        <v>457</v>
      </c>
      <c r="I232" s="4" t="s">
        <v>456</v>
      </c>
      <c r="J232" s="3" t="s">
        <v>371</v>
      </c>
      <c r="K232" s="4" t="s">
        <v>325</v>
      </c>
      <c r="L232" s="3" t="s">
        <v>368</v>
      </c>
      <c r="M232" s="4" t="s">
        <v>455</v>
      </c>
      <c r="N232" s="8" t="s">
        <v>454</v>
      </c>
    </row>
    <row r="233" spans="1:14" ht="18" customHeight="1" x14ac:dyDescent="0.3">
      <c r="A233" s="7" t="s">
        <v>373</v>
      </c>
      <c r="B233" s="4" t="s">
        <v>332</v>
      </c>
      <c r="C233" s="3" t="s">
        <v>433</v>
      </c>
      <c r="D233" s="4" t="s">
        <v>332</v>
      </c>
      <c r="E233" s="3" t="s">
        <v>368</v>
      </c>
      <c r="F233" s="4" t="s">
        <v>326</v>
      </c>
      <c r="G233" s="3" t="s">
        <v>368</v>
      </c>
      <c r="H233" s="3" t="s">
        <v>431</v>
      </c>
      <c r="I233" s="4" t="s">
        <v>332</v>
      </c>
      <c r="J233" s="3" t="s">
        <v>391</v>
      </c>
      <c r="K233" s="4" t="s">
        <v>326</v>
      </c>
      <c r="L233" s="3" t="s">
        <v>368</v>
      </c>
      <c r="M233" s="4" t="s">
        <v>326</v>
      </c>
      <c r="N233" s="8" t="s">
        <v>453</v>
      </c>
    </row>
    <row r="234" spans="1:14" ht="18" customHeight="1" x14ac:dyDescent="0.3">
      <c r="A234" s="7" t="s">
        <v>373</v>
      </c>
      <c r="B234" s="4" t="s">
        <v>332</v>
      </c>
      <c r="C234" s="3" t="s">
        <v>433</v>
      </c>
      <c r="D234" s="4" t="s">
        <v>332</v>
      </c>
      <c r="E234" s="3" t="s">
        <v>391</v>
      </c>
      <c r="F234" s="4" t="s">
        <v>327</v>
      </c>
      <c r="G234" s="3" t="s">
        <v>368</v>
      </c>
      <c r="H234" s="3" t="s">
        <v>431</v>
      </c>
      <c r="I234" s="4" t="s">
        <v>332</v>
      </c>
      <c r="J234" s="3" t="s">
        <v>379</v>
      </c>
      <c r="K234" s="4" t="s">
        <v>327</v>
      </c>
      <c r="L234" s="3" t="s">
        <v>368</v>
      </c>
      <c r="M234" s="4" t="s">
        <v>452</v>
      </c>
      <c r="N234" s="8" t="s">
        <v>451</v>
      </c>
    </row>
    <row r="235" spans="1:14" ht="18" customHeight="1" x14ac:dyDescent="0.3">
      <c r="A235" s="7" t="s">
        <v>373</v>
      </c>
      <c r="B235" s="4" t="s">
        <v>332</v>
      </c>
      <c r="C235" s="3" t="s">
        <v>433</v>
      </c>
      <c r="D235" s="4" t="s">
        <v>332</v>
      </c>
      <c r="E235" s="3" t="s">
        <v>379</v>
      </c>
      <c r="F235" s="4" t="s">
        <v>328</v>
      </c>
      <c r="G235" s="3" t="s">
        <v>368</v>
      </c>
      <c r="H235" s="3" t="s">
        <v>431</v>
      </c>
      <c r="I235" s="4" t="s">
        <v>332</v>
      </c>
      <c r="J235" s="3" t="s">
        <v>386</v>
      </c>
      <c r="K235" s="4" t="s">
        <v>328</v>
      </c>
      <c r="L235" s="3" t="s">
        <v>368</v>
      </c>
      <c r="M235" s="4" t="s">
        <v>450</v>
      </c>
      <c r="N235" s="8" t="s">
        <v>449</v>
      </c>
    </row>
    <row r="236" spans="1:14" ht="18" customHeight="1" x14ac:dyDescent="0.3">
      <c r="A236" s="7" t="s">
        <v>373</v>
      </c>
      <c r="B236" s="4" t="s">
        <v>332</v>
      </c>
      <c r="C236" s="3" t="s">
        <v>433</v>
      </c>
      <c r="D236" s="4" t="s">
        <v>332</v>
      </c>
      <c r="E236" s="3" t="s">
        <v>386</v>
      </c>
      <c r="F236" s="4" t="s">
        <v>329</v>
      </c>
      <c r="G236" s="3" t="s">
        <v>368</v>
      </c>
      <c r="H236" s="3" t="s">
        <v>431</v>
      </c>
      <c r="I236" s="4" t="s">
        <v>332</v>
      </c>
      <c r="J236" s="3" t="s">
        <v>381</v>
      </c>
      <c r="K236" s="4" t="s">
        <v>329</v>
      </c>
      <c r="L236" s="3" t="s">
        <v>368</v>
      </c>
      <c r="M236" s="4" t="s">
        <v>448</v>
      </c>
      <c r="N236" s="8" t="s">
        <v>447</v>
      </c>
    </row>
    <row r="237" spans="1:14" ht="18" customHeight="1" x14ac:dyDescent="0.3">
      <c r="A237" s="7" t="s">
        <v>373</v>
      </c>
      <c r="B237" s="4" t="s">
        <v>332</v>
      </c>
      <c r="C237" s="3" t="s">
        <v>433</v>
      </c>
      <c r="D237" s="4" t="s">
        <v>332</v>
      </c>
      <c r="E237" s="3" t="s">
        <v>381</v>
      </c>
      <c r="F237" s="4" t="s">
        <v>330</v>
      </c>
      <c r="G237" s="3" t="s">
        <v>368</v>
      </c>
      <c r="H237" s="3" t="s">
        <v>431</v>
      </c>
      <c r="I237" s="4" t="s">
        <v>332</v>
      </c>
      <c r="J237" s="3" t="s">
        <v>369</v>
      </c>
      <c r="K237" s="4" t="s">
        <v>446</v>
      </c>
      <c r="L237" s="3" t="s">
        <v>368</v>
      </c>
      <c r="M237" s="4" t="s">
        <v>446</v>
      </c>
      <c r="N237" s="8" t="s">
        <v>445</v>
      </c>
    </row>
    <row r="238" spans="1:14" ht="18" customHeight="1" x14ac:dyDescent="0.3">
      <c r="A238" s="7" t="s">
        <v>373</v>
      </c>
      <c r="B238" s="4" t="s">
        <v>332</v>
      </c>
      <c r="C238" s="3" t="s">
        <v>433</v>
      </c>
      <c r="D238" s="4" t="s">
        <v>332</v>
      </c>
      <c r="E238" s="3" t="s">
        <v>369</v>
      </c>
      <c r="F238" s="4" t="s">
        <v>331</v>
      </c>
      <c r="G238" s="3" t="s">
        <v>368</v>
      </c>
      <c r="H238" s="3" t="s">
        <v>431</v>
      </c>
      <c r="I238" s="4" t="s">
        <v>332</v>
      </c>
      <c r="J238" s="3" t="s">
        <v>407</v>
      </c>
      <c r="K238" s="4" t="s">
        <v>111</v>
      </c>
      <c r="L238" s="3" t="s">
        <v>368</v>
      </c>
      <c r="M238" s="4" t="s">
        <v>444</v>
      </c>
      <c r="N238" s="8" t="s">
        <v>443</v>
      </c>
    </row>
    <row r="239" spans="1:14" ht="18" customHeight="1" x14ac:dyDescent="0.3">
      <c r="A239" s="7" t="s">
        <v>373</v>
      </c>
      <c r="B239" s="4" t="s">
        <v>332</v>
      </c>
      <c r="C239" s="3" t="s">
        <v>433</v>
      </c>
      <c r="D239" s="4" t="s">
        <v>332</v>
      </c>
      <c r="E239" s="3" t="s">
        <v>371</v>
      </c>
      <c r="F239" s="4" t="s">
        <v>332</v>
      </c>
      <c r="G239" s="3" t="s">
        <v>368</v>
      </c>
      <c r="H239" s="3" t="s">
        <v>431</v>
      </c>
      <c r="I239" s="4" t="s">
        <v>332</v>
      </c>
      <c r="J239" s="3" t="s">
        <v>368</v>
      </c>
      <c r="K239" s="4" t="s">
        <v>332</v>
      </c>
      <c r="L239" s="3" t="s">
        <v>368</v>
      </c>
      <c r="M239" s="4" t="s">
        <v>332</v>
      </c>
      <c r="N239" s="8" t="s">
        <v>442</v>
      </c>
    </row>
    <row r="240" spans="1:14" ht="18" customHeight="1" x14ac:dyDescent="0.3">
      <c r="A240" s="7" t="s">
        <v>373</v>
      </c>
      <c r="B240" s="4" t="s">
        <v>332</v>
      </c>
      <c r="C240" s="3" t="s">
        <v>433</v>
      </c>
      <c r="D240" s="4" t="s">
        <v>332</v>
      </c>
      <c r="E240" s="3" t="s">
        <v>407</v>
      </c>
      <c r="F240" s="4" t="s">
        <v>333</v>
      </c>
      <c r="G240" s="3" t="s">
        <v>368</v>
      </c>
      <c r="H240" s="3" t="s">
        <v>431</v>
      </c>
      <c r="I240" s="4" t="s">
        <v>332</v>
      </c>
      <c r="J240" s="3" t="s">
        <v>377</v>
      </c>
      <c r="K240" s="4" t="s">
        <v>333</v>
      </c>
      <c r="L240" s="3" t="s">
        <v>368</v>
      </c>
      <c r="M240" s="4" t="s">
        <v>441</v>
      </c>
      <c r="N240" s="8" t="s">
        <v>440</v>
      </c>
    </row>
    <row r="241" spans="1:14" ht="18" customHeight="1" x14ac:dyDescent="0.3">
      <c r="A241" s="7" t="s">
        <v>373</v>
      </c>
      <c r="B241" s="4" t="s">
        <v>332</v>
      </c>
      <c r="C241" s="5" t="s">
        <v>433</v>
      </c>
      <c r="D241" s="6" t="s">
        <v>332</v>
      </c>
      <c r="E241" s="5" t="s">
        <v>375</v>
      </c>
      <c r="F241" s="6" t="s">
        <v>334</v>
      </c>
      <c r="G241" s="5" t="s">
        <v>368</v>
      </c>
      <c r="H241" s="5" t="s">
        <v>431</v>
      </c>
      <c r="I241" s="6" t="s">
        <v>332</v>
      </c>
      <c r="J241" s="5" t="s">
        <v>435</v>
      </c>
      <c r="K241" s="6" t="s">
        <v>438</v>
      </c>
      <c r="L241" s="5" t="s">
        <v>390</v>
      </c>
      <c r="M241" s="6" t="s">
        <v>437</v>
      </c>
      <c r="N241" s="9" t="s">
        <v>439</v>
      </c>
    </row>
    <row r="242" spans="1:14" ht="18" customHeight="1" x14ac:dyDescent="0.3">
      <c r="A242" s="7" t="s">
        <v>373</v>
      </c>
      <c r="B242" s="4" t="s">
        <v>332</v>
      </c>
      <c r="C242" s="5" t="s">
        <v>433</v>
      </c>
      <c r="D242" s="6" t="s">
        <v>332</v>
      </c>
      <c r="E242" s="5" t="s">
        <v>377</v>
      </c>
      <c r="F242" s="6" t="s">
        <v>335</v>
      </c>
      <c r="G242" s="5" t="s">
        <v>368</v>
      </c>
      <c r="H242" s="5" t="s">
        <v>431</v>
      </c>
      <c r="I242" s="6" t="s">
        <v>332</v>
      </c>
      <c r="J242" s="5" t="s">
        <v>435</v>
      </c>
      <c r="K242" s="6" t="s">
        <v>438</v>
      </c>
      <c r="L242" s="5" t="s">
        <v>388</v>
      </c>
      <c r="M242" s="6" t="s">
        <v>437</v>
      </c>
      <c r="N242" s="9" t="s">
        <v>436</v>
      </c>
    </row>
    <row r="243" spans="1:14" ht="18" customHeight="1" x14ac:dyDescent="0.3">
      <c r="A243" s="7" t="s">
        <v>373</v>
      </c>
      <c r="B243" s="4" t="s">
        <v>332</v>
      </c>
      <c r="C243" s="3" t="s">
        <v>433</v>
      </c>
      <c r="D243" s="4" t="s">
        <v>332</v>
      </c>
      <c r="E243" s="3" t="s">
        <v>435</v>
      </c>
      <c r="F243" s="4" t="s">
        <v>336</v>
      </c>
      <c r="G243" s="3" t="s">
        <v>368</v>
      </c>
      <c r="H243" s="3" t="s">
        <v>431</v>
      </c>
      <c r="I243" s="4" t="s">
        <v>332</v>
      </c>
      <c r="J243" s="3" t="s">
        <v>432</v>
      </c>
      <c r="K243" s="4" t="s">
        <v>336</v>
      </c>
      <c r="L243" s="3" t="s">
        <v>368</v>
      </c>
      <c r="M243" s="4" t="s">
        <v>336</v>
      </c>
      <c r="N243" s="8" t="s">
        <v>434</v>
      </c>
    </row>
    <row r="244" spans="1:14" ht="18" customHeight="1" x14ac:dyDescent="0.3">
      <c r="A244" s="7" t="s">
        <v>373</v>
      </c>
      <c r="B244" s="4" t="s">
        <v>332</v>
      </c>
      <c r="C244" s="3" t="s">
        <v>433</v>
      </c>
      <c r="D244" s="4" t="s">
        <v>332</v>
      </c>
      <c r="E244" s="3" t="s">
        <v>432</v>
      </c>
      <c r="F244" s="4" t="s">
        <v>337</v>
      </c>
      <c r="G244" s="3" t="s">
        <v>368</v>
      </c>
      <c r="H244" s="3" t="s">
        <v>431</v>
      </c>
      <c r="I244" s="4" t="s">
        <v>332</v>
      </c>
      <c r="J244" s="3" t="s">
        <v>430</v>
      </c>
      <c r="K244" s="4" t="s">
        <v>337</v>
      </c>
      <c r="L244" s="3" t="s">
        <v>368</v>
      </c>
      <c r="M244" s="4" t="s">
        <v>337</v>
      </c>
      <c r="N244" s="8" t="s">
        <v>429</v>
      </c>
    </row>
    <row r="245" spans="1:14" ht="18" customHeight="1" x14ac:dyDescent="0.3">
      <c r="A245" s="7" t="s">
        <v>373</v>
      </c>
      <c r="B245" s="4" t="s">
        <v>423</v>
      </c>
      <c r="C245" s="3" t="s">
        <v>424</v>
      </c>
      <c r="D245" s="4" t="s">
        <v>423</v>
      </c>
      <c r="E245" s="3" t="s">
        <v>368</v>
      </c>
      <c r="F245" s="4" t="s">
        <v>338</v>
      </c>
      <c r="G245" s="3" t="s">
        <v>368</v>
      </c>
      <c r="H245" s="3" t="s">
        <v>406</v>
      </c>
      <c r="I245" s="4" t="s">
        <v>348</v>
      </c>
      <c r="J245" s="3" t="s">
        <v>379</v>
      </c>
      <c r="K245" s="4" t="s">
        <v>338</v>
      </c>
      <c r="L245" s="3" t="s">
        <v>368</v>
      </c>
      <c r="M245" s="4" t="s">
        <v>428</v>
      </c>
      <c r="N245" s="8" t="s">
        <v>427</v>
      </c>
    </row>
    <row r="246" spans="1:14" ht="18" customHeight="1" x14ac:dyDescent="0.3">
      <c r="A246" s="7" t="s">
        <v>373</v>
      </c>
      <c r="B246" s="4" t="s">
        <v>423</v>
      </c>
      <c r="C246" s="3" t="s">
        <v>424</v>
      </c>
      <c r="D246" s="4" t="s">
        <v>423</v>
      </c>
      <c r="E246" s="3" t="s">
        <v>391</v>
      </c>
      <c r="F246" s="4" t="s">
        <v>339</v>
      </c>
      <c r="G246" s="3" t="s">
        <v>368</v>
      </c>
      <c r="H246" s="3" t="s">
        <v>406</v>
      </c>
      <c r="I246" s="4" t="s">
        <v>348</v>
      </c>
      <c r="J246" s="3" t="s">
        <v>381</v>
      </c>
      <c r="K246" s="4" t="s">
        <v>339</v>
      </c>
      <c r="L246" s="3" t="s">
        <v>368</v>
      </c>
      <c r="M246" s="4" t="s">
        <v>339</v>
      </c>
      <c r="N246" s="8" t="s">
        <v>426</v>
      </c>
    </row>
    <row r="247" spans="1:14" ht="18" customHeight="1" x14ac:dyDescent="0.3">
      <c r="A247" s="7" t="s">
        <v>373</v>
      </c>
      <c r="B247" s="4" t="s">
        <v>423</v>
      </c>
      <c r="C247" s="3" t="s">
        <v>424</v>
      </c>
      <c r="D247" s="4" t="s">
        <v>423</v>
      </c>
      <c r="E247" s="3" t="s">
        <v>379</v>
      </c>
      <c r="F247" s="4" t="s">
        <v>340</v>
      </c>
      <c r="G247" s="3" t="s">
        <v>368</v>
      </c>
      <c r="H247" s="3" t="s">
        <v>406</v>
      </c>
      <c r="I247" s="4" t="s">
        <v>348</v>
      </c>
      <c r="J247" s="3" t="s">
        <v>368</v>
      </c>
      <c r="K247" s="4" t="s">
        <v>340</v>
      </c>
      <c r="L247" s="3" t="s">
        <v>368</v>
      </c>
      <c r="M247" s="4" t="s">
        <v>340</v>
      </c>
      <c r="N247" s="8" t="s">
        <v>425</v>
      </c>
    </row>
    <row r="248" spans="1:14" ht="18" customHeight="1" x14ac:dyDescent="0.3">
      <c r="A248" s="7" t="s">
        <v>373</v>
      </c>
      <c r="B248" s="4" t="s">
        <v>423</v>
      </c>
      <c r="C248" s="3" t="s">
        <v>424</v>
      </c>
      <c r="D248" s="4" t="s">
        <v>423</v>
      </c>
      <c r="E248" s="3" t="s">
        <v>386</v>
      </c>
      <c r="F248" s="4" t="s">
        <v>170</v>
      </c>
      <c r="G248" s="3" t="s">
        <v>368</v>
      </c>
      <c r="H248" s="3" t="s">
        <v>406</v>
      </c>
      <c r="I248" s="4" t="s">
        <v>348</v>
      </c>
      <c r="J248" s="3" t="s">
        <v>407</v>
      </c>
      <c r="K248" s="4" t="s">
        <v>170</v>
      </c>
      <c r="L248" s="3" t="s">
        <v>368</v>
      </c>
      <c r="M248" s="4" t="s">
        <v>170</v>
      </c>
      <c r="N248" s="8" t="s">
        <v>422</v>
      </c>
    </row>
    <row r="249" spans="1:14" ht="18" customHeight="1" x14ac:dyDescent="0.3">
      <c r="A249" s="7" t="s">
        <v>373</v>
      </c>
      <c r="B249" s="4" t="s">
        <v>408</v>
      </c>
      <c r="C249" s="3" t="s">
        <v>409</v>
      </c>
      <c r="D249" s="4" t="s">
        <v>408</v>
      </c>
      <c r="E249" s="3" t="s">
        <v>368</v>
      </c>
      <c r="F249" s="4" t="s">
        <v>341</v>
      </c>
      <c r="G249" s="3" t="s">
        <v>368</v>
      </c>
      <c r="H249" s="3" t="s">
        <v>370</v>
      </c>
      <c r="I249" s="4" t="s">
        <v>172</v>
      </c>
      <c r="J249" s="3" t="s">
        <v>391</v>
      </c>
      <c r="K249" s="4" t="s">
        <v>341</v>
      </c>
      <c r="L249" s="3" t="s">
        <v>368</v>
      </c>
      <c r="M249" s="4" t="s">
        <v>421</v>
      </c>
      <c r="N249" s="8" t="s">
        <v>420</v>
      </c>
    </row>
    <row r="250" spans="1:14" ht="18" customHeight="1" x14ac:dyDescent="0.3">
      <c r="A250" s="7" t="s">
        <v>373</v>
      </c>
      <c r="B250" s="4" t="s">
        <v>408</v>
      </c>
      <c r="C250" s="3" t="s">
        <v>409</v>
      </c>
      <c r="D250" s="4" t="s">
        <v>408</v>
      </c>
      <c r="E250" s="3" t="s">
        <v>391</v>
      </c>
      <c r="F250" s="4" t="s">
        <v>343</v>
      </c>
      <c r="G250" s="3" t="s">
        <v>368</v>
      </c>
      <c r="H250" s="3" t="s">
        <v>406</v>
      </c>
      <c r="I250" s="4" t="s">
        <v>348</v>
      </c>
      <c r="J250" s="3" t="s">
        <v>391</v>
      </c>
      <c r="K250" s="4" t="s">
        <v>343</v>
      </c>
      <c r="L250" s="3" t="s">
        <v>368</v>
      </c>
      <c r="M250" s="4" t="s">
        <v>343</v>
      </c>
      <c r="N250" s="8" t="s">
        <v>419</v>
      </c>
    </row>
    <row r="251" spans="1:14" ht="18" customHeight="1" x14ac:dyDescent="0.3">
      <c r="A251" s="7" t="s">
        <v>373</v>
      </c>
      <c r="B251" s="4" t="s">
        <v>408</v>
      </c>
      <c r="C251" s="3" t="s">
        <v>409</v>
      </c>
      <c r="D251" s="4" t="s">
        <v>408</v>
      </c>
      <c r="E251" s="3" t="s">
        <v>379</v>
      </c>
      <c r="F251" s="4" t="s">
        <v>344</v>
      </c>
      <c r="G251" s="3" t="s">
        <v>368</v>
      </c>
      <c r="H251" s="3" t="s">
        <v>370</v>
      </c>
      <c r="I251" s="4" t="s">
        <v>172</v>
      </c>
      <c r="J251" s="3" t="s">
        <v>371</v>
      </c>
      <c r="K251" s="4" t="s">
        <v>344</v>
      </c>
      <c r="L251" s="3" t="s">
        <v>368</v>
      </c>
      <c r="M251" s="4" t="s">
        <v>418</v>
      </c>
      <c r="N251" s="8" t="s">
        <v>417</v>
      </c>
    </row>
    <row r="252" spans="1:14" ht="18" customHeight="1" x14ac:dyDescent="0.3">
      <c r="A252" s="7" t="s">
        <v>373</v>
      </c>
      <c r="B252" s="4" t="s">
        <v>408</v>
      </c>
      <c r="C252" s="3" t="s">
        <v>409</v>
      </c>
      <c r="D252" s="4" t="s">
        <v>408</v>
      </c>
      <c r="E252" s="3" t="s">
        <v>386</v>
      </c>
      <c r="F252" s="4" t="s">
        <v>345</v>
      </c>
      <c r="G252" s="3" t="s">
        <v>368</v>
      </c>
      <c r="H252" s="3" t="s">
        <v>406</v>
      </c>
      <c r="I252" s="4" t="s">
        <v>348</v>
      </c>
      <c r="J252" s="3" t="s">
        <v>386</v>
      </c>
      <c r="K252" s="4" t="s">
        <v>345</v>
      </c>
      <c r="L252" s="3" t="s">
        <v>368</v>
      </c>
      <c r="M252" s="4" t="s">
        <v>416</v>
      </c>
      <c r="N252" s="8" t="s">
        <v>415</v>
      </c>
    </row>
    <row r="253" spans="1:14" ht="18" customHeight="1" x14ac:dyDescent="0.3">
      <c r="A253" s="7" t="s">
        <v>373</v>
      </c>
      <c r="B253" s="4" t="s">
        <v>408</v>
      </c>
      <c r="C253" s="3" t="s">
        <v>409</v>
      </c>
      <c r="D253" s="4" t="s">
        <v>408</v>
      </c>
      <c r="E253" s="3" t="s">
        <v>381</v>
      </c>
      <c r="F253" s="4" t="s">
        <v>346</v>
      </c>
      <c r="G253" s="3" t="s">
        <v>368</v>
      </c>
      <c r="H253" s="3" t="s">
        <v>406</v>
      </c>
      <c r="I253" s="4" t="s">
        <v>348</v>
      </c>
      <c r="J253" s="3" t="s">
        <v>369</v>
      </c>
      <c r="K253" s="4" t="s">
        <v>346</v>
      </c>
      <c r="L253" s="3" t="s">
        <v>368</v>
      </c>
      <c r="M253" s="4" t="s">
        <v>414</v>
      </c>
      <c r="N253" s="8" t="s">
        <v>413</v>
      </c>
    </row>
    <row r="254" spans="1:14" ht="18" customHeight="1" x14ac:dyDescent="0.3">
      <c r="A254" s="7" t="s">
        <v>373</v>
      </c>
      <c r="B254" s="4" t="s">
        <v>408</v>
      </c>
      <c r="C254" s="3" t="s">
        <v>409</v>
      </c>
      <c r="D254" s="4" t="s">
        <v>408</v>
      </c>
      <c r="E254" s="3" t="s">
        <v>369</v>
      </c>
      <c r="F254" s="4" t="s">
        <v>347</v>
      </c>
      <c r="G254" s="3" t="s">
        <v>368</v>
      </c>
      <c r="H254" s="3" t="s">
        <v>406</v>
      </c>
      <c r="I254" s="4" t="s">
        <v>348</v>
      </c>
      <c r="J254" s="3" t="s">
        <v>371</v>
      </c>
      <c r="K254" s="4" t="s">
        <v>347</v>
      </c>
      <c r="L254" s="3" t="s">
        <v>368</v>
      </c>
      <c r="M254" s="4" t="s">
        <v>347</v>
      </c>
      <c r="N254" s="8" t="s">
        <v>412</v>
      </c>
    </row>
    <row r="255" spans="1:14" ht="18" customHeight="1" x14ac:dyDescent="0.3">
      <c r="A255" s="7" t="s">
        <v>373</v>
      </c>
      <c r="B255" s="4" t="s">
        <v>408</v>
      </c>
      <c r="C255" s="3" t="s">
        <v>409</v>
      </c>
      <c r="D255" s="4" t="s">
        <v>408</v>
      </c>
      <c r="E255" s="3" t="s">
        <v>371</v>
      </c>
      <c r="F255" s="4" t="s">
        <v>348</v>
      </c>
      <c r="G255" s="3" t="s">
        <v>368</v>
      </c>
      <c r="H255" s="3" t="s">
        <v>406</v>
      </c>
      <c r="I255" s="4" t="s">
        <v>348</v>
      </c>
      <c r="J255" s="3" t="s">
        <v>375</v>
      </c>
      <c r="K255" s="4" t="s">
        <v>348</v>
      </c>
      <c r="L255" s="3" t="s">
        <v>368</v>
      </c>
      <c r="M255" s="4" t="s">
        <v>411</v>
      </c>
      <c r="N255" s="8" t="s">
        <v>410</v>
      </c>
    </row>
    <row r="256" spans="1:14" ht="18" customHeight="1" x14ac:dyDescent="0.3">
      <c r="A256" s="7" t="s">
        <v>373</v>
      </c>
      <c r="B256" s="4" t="s">
        <v>408</v>
      </c>
      <c r="C256" s="3" t="s">
        <v>409</v>
      </c>
      <c r="D256" s="4" t="s">
        <v>408</v>
      </c>
      <c r="E256" s="3" t="s">
        <v>407</v>
      </c>
      <c r="F256" s="4" t="s">
        <v>349</v>
      </c>
      <c r="G256" s="3" t="s">
        <v>368</v>
      </c>
      <c r="H256" s="3" t="s">
        <v>406</v>
      </c>
      <c r="I256" s="4" t="s">
        <v>348</v>
      </c>
      <c r="J256" s="3" t="s">
        <v>377</v>
      </c>
      <c r="K256" s="4" t="s">
        <v>349</v>
      </c>
      <c r="L256" s="3" t="s">
        <v>368</v>
      </c>
      <c r="M256" s="4" t="s">
        <v>349</v>
      </c>
      <c r="N256" s="8" t="s">
        <v>405</v>
      </c>
    </row>
    <row r="257" spans="1:14" ht="18" customHeight="1" x14ac:dyDescent="0.3">
      <c r="A257" s="7" t="s">
        <v>373</v>
      </c>
      <c r="B257" s="4" t="s">
        <v>401</v>
      </c>
      <c r="C257" s="5" t="s">
        <v>403</v>
      </c>
      <c r="D257" s="6" t="s">
        <v>401</v>
      </c>
      <c r="E257" s="5" t="s">
        <v>368</v>
      </c>
      <c r="F257" s="6" t="s">
        <v>350</v>
      </c>
      <c r="G257" s="5" t="s">
        <v>368</v>
      </c>
      <c r="H257" s="5" t="s">
        <v>402</v>
      </c>
      <c r="I257" s="6" t="s">
        <v>401</v>
      </c>
      <c r="J257" s="5" t="s">
        <v>368</v>
      </c>
      <c r="K257" s="6" t="s">
        <v>401</v>
      </c>
      <c r="L257" s="5" t="s">
        <v>390</v>
      </c>
      <c r="M257" s="6" t="s">
        <v>401</v>
      </c>
      <c r="N257" s="9" t="s">
        <v>404</v>
      </c>
    </row>
    <row r="258" spans="1:14" ht="18" customHeight="1" x14ac:dyDescent="0.3">
      <c r="A258" s="7" t="s">
        <v>373</v>
      </c>
      <c r="B258" s="4" t="s">
        <v>401</v>
      </c>
      <c r="C258" s="5" t="s">
        <v>403</v>
      </c>
      <c r="D258" s="6" t="s">
        <v>401</v>
      </c>
      <c r="E258" s="5" t="s">
        <v>391</v>
      </c>
      <c r="F258" s="6" t="s">
        <v>351</v>
      </c>
      <c r="G258" s="5" t="s">
        <v>368</v>
      </c>
      <c r="H258" s="5" t="s">
        <v>402</v>
      </c>
      <c r="I258" s="6" t="s">
        <v>401</v>
      </c>
      <c r="J258" s="5" t="s">
        <v>368</v>
      </c>
      <c r="K258" s="6" t="s">
        <v>401</v>
      </c>
      <c r="L258" s="5" t="s">
        <v>388</v>
      </c>
      <c r="M258" s="6" t="s">
        <v>401</v>
      </c>
      <c r="N258" s="9" t="s">
        <v>400</v>
      </c>
    </row>
    <row r="259" spans="1:14" ht="18" customHeight="1" x14ac:dyDescent="0.3">
      <c r="A259" s="7" t="s">
        <v>373</v>
      </c>
      <c r="B259" s="4" t="s">
        <v>395</v>
      </c>
      <c r="C259" s="5" t="s">
        <v>397</v>
      </c>
      <c r="D259" s="6" t="s">
        <v>395</v>
      </c>
      <c r="E259" s="5" t="s">
        <v>368</v>
      </c>
      <c r="F259" s="6" t="s">
        <v>352</v>
      </c>
      <c r="G259" s="5" t="s">
        <v>368</v>
      </c>
      <c r="H259" s="5" t="s">
        <v>396</v>
      </c>
      <c r="I259" s="6" t="s">
        <v>395</v>
      </c>
      <c r="J259" s="5" t="s">
        <v>368</v>
      </c>
      <c r="K259" s="6" t="s">
        <v>395</v>
      </c>
      <c r="L259" s="5" t="s">
        <v>390</v>
      </c>
      <c r="M259" s="6" t="s">
        <v>395</v>
      </c>
      <c r="N259" s="9" t="s">
        <v>399</v>
      </c>
    </row>
    <row r="260" spans="1:14" ht="18" customHeight="1" x14ac:dyDescent="0.3">
      <c r="A260" s="7" t="s">
        <v>373</v>
      </c>
      <c r="B260" s="4" t="s">
        <v>395</v>
      </c>
      <c r="C260" s="5" t="s">
        <v>397</v>
      </c>
      <c r="D260" s="6" t="s">
        <v>395</v>
      </c>
      <c r="E260" s="5" t="s">
        <v>391</v>
      </c>
      <c r="F260" s="6" t="s">
        <v>353</v>
      </c>
      <c r="G260" s="5" t="s">
        <v>368</v>
      </c>
      <c r="H260" s="5" t="s">
        <v>396</v>
      </c>
      <c r="I260" s="6" t="s">
        <v>395</v>
      </c>
      <c r="J260" s="5" t="s">
        <v>368</v>
      </c>
      <c r="K260" s="6" t="s">
        <v>395</v>
      </c>
      <c r="L260" s="5" t="s">
        <v>388</v>
      </c>
      <c r="M260" s="6" t="s">
        <v>395</v>
      </c>
      <c r="N260" s="9" t="s">
        <v>398</v>
      </c>
    </row>
    <row r="261" spans="1:14" ht="18" customHeight="1" x14ac:dyDescent="0.3">
      <c r="A261" s="7" t="s">
        <v>373</v>
      </c>
      <c r="B261" s="4" t="s">
        <v>395</v>
      </c>
      <c r="C261" s="3" t="s">
        <v>397</v>
      </c>
      <c r="D261" s="4" t="s">
        <v>395</v>
      </c>
      <c r="E261" s="3" t="s">
        <v>379</v>
      </c>
      <c r="F261" s="4" t="s">
        <v>354</v>
      </c>
      <c r="G261" s="3" t="s">
        <v>368</v>
      </c>
      <c r="H261" s="3" t="s">
        <v>396</v>
      </c>
      <c r="I261" s="4" t="s">
        <v>395</v>
      </c>
      <c r="J261" s="3" t="s">
        <v>379</v>
      </c>
      <c r="K261" s="4" t="s">
        <v>354</v>
      </c>
      <c r="L261" s="3" t="s">
        <v>368</v>
      </c>
      <c r="M261" s="4" t="s">
        <v>354</v>
      </c>
      <c r="N261" s="8" t="s">
        <v>394</v>
      </c>
    </row>
    <row r="262" spans="1:14" ht="18" customHeight="1" x14ac:dyDescent="0.3">
      <c r="A262" s="7" t="s">
        <v>373</v>
      </c>
      <c r="B262" s="4" t="s">
        <v>360</v>
      </c>
      <c r="C262" s="3" t="s">
        <v>372</v>
      </c>
      <c r="D262" s="4" t="s">
        <v>360</v>
      </c>
      <c r="E262" s="3" t="s">
        <v>368</v>
      </c>
      <c r="F262" s="4" t="s">
        <v>128</v>
      </c>
      <c r="G262" s="3" t="s">
        <v>368</v>
      </c>
      <c r="H262" s="3" t="s">
        <v>380</v>
      </c>
      <c r="I262" s="4" t="s">
        <v>360</v>
      </c>
      <c r="J262" s="3" t="s">
        <v>391</v>
      </c>
      <c r="K262" s="4" t="s">
        <v>128</v>
      </c>
      <c r="L262" s="3" t="s">
        <v>368</v>
      </c>
      <c r="M262" s="4" t="s">
        <v>393</v>
      </c>
      <c r="N262" s="8" t="s">
        <v>392</v>
      </c>
    </row>
    <row r="263" spans="1:14" ht="18" customHeight="1" x14ac:dyDescent="0.3">
      <c r="A263" s="7" t="s">
        <v>373</v>
      </c>
      <c r="B263" s="4" t="s">
        <v>360</v>
      </c>
      <c r="C263" s="5" t="s">
        <v>372</v>
      </c>
      <c r="D263" s="6" t="s">
        <v>360</v>
      </c>
      <c r="E263" s="5" t="s">
        <v>391</v>
      </c>
      <c r="F263" s="6" t="s">
        <v>355</v>
      </c>
      <c r="G263" s="5" t="s">
        <v>368</v>
      </c>
      <c r="H263" s="5" t="s">
        <v>380</v>
      </c>
      <c r="I263" s="6" t="s">
        <v>360</v>
      </c>
      <c r="J263" s="5" t="s">
        <v>368</v>
      </c>
      <c r="K263" s="6" t="s">
        <v>385</v>
      </c>
      <c r="L263" s="5" t="s">
        <v>390</v>
      </c>
      <c r="M263" s="6" t="s">
        <v>383</v>
      </c>
      <c r="N263" s="9" t="s">
        <v>389</v>
      </c>
    </row>
    <row r="264" spans="1:14" ht="18" customHeight="1" x14ac:dyDescent="0.3">
      <c r="A264" s="7" t="s">
        <v>373</v>
      </c>
      <c r="B264" s="4" t="s">
        <v>360</v>
      </c>
      <c r="C264" s="5" t="s">
        <v>372</v>
      </c>
      <c r="D264" s="6" t="s">
        <v>360</v>
      </c>
      <c r="E264" s="5" t="s">
        <v>379</v>
      </c>
      <c r="F264" s="6" t="s">
        <v>356</v>
      </c>
      <c r="G264" s="5" t="s">
        <v>368</v>
      </c>
      <c r="H264" s="5" t="s">
        <v>380</v>
      </c>
      <c r="I264" s="6" t="s">
        <v>360</v>
      </c>
      <c r="J264" s="5" t="s">
        <v>368</v>
      </c>
      <c r="K264" s="6" t="s">
        <v>385</v>
      </c>
      <c r="L264" s="5" t="s">
        <v>388</v>
      </c>
      <c r="M264" s="6" t="s">
        <v>383</v>
      </c>
      <c r="N264" s="9" t="s">
        <v>387</v>
      </c>
    </row>
    <row r="265" spans="1:14" ht="18" customHeight="1" x14ac:dyDescent="0.3">
      <c r="A265" s="7" t="s">
        <v>373</v>
      </c>
      <c r="B265" s="4" t="s">
        <v>360</v>
      </c>
      <c r="C265" s="5" t="s">
        <v>372</v>
      </c>
      <c r="D265" s="6" t="s">
        <v>360</v>
      </c>
      <c r="E265" s="5" t="s">
        <v>386</v>
      </c>
      <c r="F265" s="6" t="s">
        <v>357</v>
      </c>
      <c r="G265" s="5" t="s">
        <v>368</v>
      </c>
      <c r="H265" s="5" t="s">
        <v>380</v>
      </c>
      <c r="I265" s="6" t="s">
        <v>360</v>
      </c>
      <c r="J265" s="5" t="s">
        <v>368</v>
      </c>
      <c r="K265" s="6" t="s">
        <v>385</v>
      </c>
      <c r="L265" s="5" t="s">
        <v>384</v>
      </c>
      <c r="M265" s="6" t="s">
        <v>383</v>
      </c>
      <c r="N265" s="9" t="s">
        <v>382</v>
      </c>
    </row>
    <row r="266" spans="1:14" ht="18" customHeight="1" x14ac:dyDescent="0.3">
      <c r="A266" s="7" t="s">
        <v>373</v>
      </c>
      <c r="B266" s="4" t="s">
        <v>360</v>
      </c>
      <c r="C266" s="3" t="s">
        <v>372</v>
      </c>
      <c r="D266" s="4" t="s">
        <v>360</v>
      </c>
      <c r="E266" s="3" t="s">
        <v>381</v>
      </c>
      <c r="F266" s="4" t="s">
        <v>358</v>
      </c>
      <c r="G266" s="3" t="s">
        <v>368</v>
      </c>
      <c r="H266" s="3" t="s">
        <v>380</v>
      </c>
      <c r="I266" s="4" t="s">
        <v>360</v>
      </c>
      <c r="J266" s="3" t="s">
        <v>379</v>
      </c>
      <c r="K266" s="4" t="s">
        <v>358</v>
      </c>
      <c r="L266" s="3" t="s">
        <v>368</v>
      </c>
      <c r="M266" s="4" t="s">
        <v>358</v>
      </c>
      <c r="N266" s="8" t="s">
        <v>378</v>
      </c>
    </row>
    <row r="267" spans="1:14" ht="18" customHeight="1" x14ac:dyDescent="0.3">
      <c r="A267" s="7" t="s">
        <v>373</v>
      </c>
      <c r="B267" s="4" t="s">
        <v>360</v>
      </c>
      <c r="C267" s="3" t="s">
        <v>372</v>
      </c>
      <c r="D267" s="4" t="s">
        <v>360</v>
      </c>
      <c r="E267" s="3" t="s">
        <v>369</v>
      </c>
      <c r="F267" s="4" t="s">
        <v>359</v>
      </c>
      <c r="G267" s="3" t="s">
        <v>368</v>
      </c>
      <c r="H267" s="3" t="s">
        <v>377</v>
      </c>
      <c r="I267" s="4" t="s">
        <v>376</v>
      </c>
      <c r="J267" s="3" t="s">
        <v>375</v>
      </c>
      <c r="K267" s="4" t="s">
        <v>359</v>
      </c>
      <c r="L267" s="3" t="s">
        <v>368</v>
      </c>
      <c r="M267" s="4" t="s">
        <v>359</v>
      </c>
      <c r="N267" s="8" t="s">
        <v>374</v>
      </c>
    </row>
    <row r="268" spans="1:14" ht="18" customHeight="1" x14ac:dyDescent="0.3">
      <c r="A268" s="15" t="s">
        <v>373</v>
      </c>
      <c r="B268" s="16" t="s">
        <v>360</v>
      </c>
      <c r="C268" s="17" t="s">
        <v>372</v>
      </c>
      <c r="D268" s="16" t="s">
        <v>360</v>
      </c>
      <c r="E268" s="17" t="s">
        <v>371</v>
      </c>
      <c r="F268" s="16" t="s">
        <v>360</v>
      </c>
      <c r="G268" s="17" t="s">
        <v>368</v>
      </c>
      <c r="H268" s="17" t="s">
        <v>370</v>
      </c>
      <c r="I268" s="16" t="s">
        <v>172</v>
      </c>
      <c r="J268" s="17" t="s">
        <v>369</v>
      </c>
      <c r="K268" s="16" t="s">
        <v>360</v>
      </c>
      <c r="L268" s="17" t="s">
        <v>368</v>
      </c>
      <c r="M268" s="16" t="s">
        <v>367</v>
      </c>
      <c r="N268" s="18" t="s">
        <v>366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DDCAA-E1E2-4980-92BB-25AE96DDB0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MARCO</vt:lpstr>
      <vt:lpstr>PEA</vt:lpstr>
      <vt:lpstr>Org. Lima - Callao y ODEIs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Garay Gutierrez</dc:creator>
  <cp:lastModifiedBy>carlos herrera palma</cp:lastModifiedBy>
  <dcterms:created xsi:type="dcterms:W3CDTF">2024-10-09T15:01:11Z</dcterms:created>
  <dcterms:modified xsi:type="dcterms:W3CDTF">2026-05-31T00:56:42Z</dcterms:modified>
</cp:coreProperties>
</file>